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bo\Desktop\"/>
    </mc:Choice>
  </mc:AlternateContent>
  <bookViews>
    <workbookView xWindow="0" yWindow="0" windowWidth="15330" windowHeight="7725" tabRatio="573"/>
  </bookViews>
  <sheets>
    <sheet name="Portada" sheetId="1" r:id="rId1"/>
    <sheet name="Parametrización" sheetId="2" r:id="rId2"/>
    <sheet name="Parametrización (volatilidad)" sheetId="4" state="hidden" r:id="rId3"/>
    <sheet name="Cálculos" sheetId="3" r:id="rId4"/>
    <sheet name="Página Final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5" l="1"/>
  <c r="C96" i="3"/>
  <c r="J12" i="2"/>
  <c r="C93" i="3" s="1"/>
  <c r="C90" i="3"/>
  <c r="C89" i="3"/>
  <c r="J15" i="2"/>
  <c r="J14" i="2"/>
  <c r="C91" i="3" l="1"/>
  <c r="K33" i="5"/>
  <c r="H23" i="3" l="1"/>
  <c r="N28" i="4" l="1"/>
  <c r="N29" i="4"/>
  <c r="N30" i="4"/>
  <c r="N31" i="4"/>
  <c r="N32" i="4"/>
  <c r="N27" i="4"/>
  <c r="N16" i="4"/>
  <c r="N17" i="4"/>
  <c r="N18" i="4"/>
  <c r="N19" i="4"/>
  <c r="N20" i="4"/>
  <c r="N15" i="4"/>
  <c r="L43" i="2" l="1"/>
  <c r="K43" i="2"/>
  <c r="J43" i="2"/>
  <c r="I43" i="2"/>
  <c r="H43" i="2"/>
  <c r="G43" i="2"/>
  <c r="L42" i="2"/>
  <c r="K42" i="2"/>
  <c r="J42" i="2"/>
  <c r="I42" i="2"/>
  <c r="I41" i="2"/>
  <c r="J41" i="2"/>
  <c r="K41" i="2"/>
  <c r="L41" i="2"/>
  <c r="H41" i="2"/>
  <c r="G42" i="2"/>
  <c r="H42" i="2"/>
  <c r="G41" i="2"/>
  <c r="M32" i="4"/>
  <c r="M31" i="4"/>
  <c r="M30" i="4"/>
  <c r="M29" i="4"/>
  <c r="M28" i="4"/>
  <c r="M27" i="4"/>
  <c r="E26" i="4"/>
  <c r="D25" i="4"/>
  <c r="D24" i="4"/>
  <c r="D23" i="4"/>
  <c r="D22" i="4"/>
  <c r="D21" i="4"/>
  <c r="M20" i="4"/>
  <c r="D20" i="4"/>
  <c r="M19" i="4"/>
  <c r="M18" i="4"/>
  <c r="M17" i="4"/>
  <c r="M16" i="4"/>
  <c r="M15" i="4"/>
  <c r="I13" i="4"/>
  <c r="I12" i="4"/>
  <c r="I9" i="4"/>
  <c r="J5" i="4" s="1"/>
  <c r="F9" i="4"/>
  <c r="E25" i="4" s="1"/>
  <c r="B9" i="4"/>
  <c r="F8" i="4"/>
  <c r="E24" i="4" s="1"/>
  <c r="B8" i="4"/>
  <c r="F7" i="4"/>
  <c r="E23" i="4" s="1"/>
  <c r="B7" i="4"/>
  <c r="G6" i="4"/>
  <c r="F6" i="4"/>
  <c r="E22" i="4" s="1"/>
  <c r="B6" i="4"/>
  <c r="G5" i="4"/>
  <c r="F5" i="4"/>
  <c r="E21" i="4" s="1"/>
  <c r="B5" i="4"/>
  <c r="G4" i="4"/>
  <c r="H9" i="4" s="1"/>
  <c r="F4" i="4"/>
  <c r="E20" i="4" s="1"/>
  <c r="B4" i="4"/>
  <c r="L29" i="2"/>
  <c r="K28" i="5" s="1"/>
  <c r="L30" i="2"/>
  <c r="K29" i="5" s="1"/>
  <c r="L31" i="2"/>
  <c r="K30" i="5" s="1"/>
  <c r="L32" i="2"/>
  <c r="K31" i="5" s="1"/>
  <c r="L33" i="2"/>
  <c r="K32" i="5" s="1"/>
  <c r="L28" i="2"/>
  <c r="K27" i="5" s="1"/>
  <c r="L22" i="2"/>
  <c r="K7" i="5" s="1"/>
  <c r="L21" i="2"/>
  <c r="K6" i="5" s="1"/>
  <c r="L20" i="2"/>
  <c r="K5" i="5" s="1"/>
  <c r="L19" i="2"/>
  <c r="K4" i="5" s="1"/>
  <c r="L18" i="2"/>
  <c r="K3" i="5" s="1"/>
  <c r="L17" i="2"/>
  <c r="K2" i="5" s="1"/>
  <c r="C27" i="2"/>
  <c r="J9" i="2"/>
  <c r="M34" i="2" s="1"/>
  <c r="H4" i="2"/>
  <c r="H5" i="2"/>
  <c r="H6" i="2"/>
  <c r="K4" i="2"/>
  <c r="M28" i="2" s="1"/>
  <c r="L27" i="5" s="1"/>
  <c r="G9" i="2"/>
  <c r="H36" i="3" s="1"/>
  <c r="G8" i="2"/>
  <c r="G7" i="2"/>
  <c r="G6" i="2"/>
  <c r="H33" i="3" s="1"/>
  <c r="G5" i="2"/>
  <c r="H32" i="3" s="1"/>
  <c r="G4" i="2"/>
  <c r="H31" i="3" s="1"/>
  <c r="C69" i="3" l="1"/>
  <c r="L33" i="5"/>
  <c r="C97" i="3"/>
  <c r="B30" i="5"/>
  <c r="K8" i="2"/>
  <c r="M32" i="2" s="1"/>
  <c r="L31" i="5" s="1"/>
  <c r="K5" i="2"/>
  <c r="M29" i="2" s="1"/>
  <c r="L28" i="5" s="1"/>
  <c r="K9" i="2"/>
  <c r="M33" i="2" s="1"/>
  <c r="L32" i="5" s="1"/>
  <c r="I4" i="2"/>
  <c r="M17" i="2" s="1"/>
  <c r="L2" i="5" s="1"/>
  <c r="I6" i="2"/>
  <c r="M19" i="2" s="1"/>
  <c r="L4" i="5" s="1"/>
  <c r="K7" i="2"/>
  <c r="M31" i="2" s="1"/>
  <c r="L30" i="5" s="1"/>
  <c r="K6" i="2"/>
  <c r="M30" i="2" s="1"/>
  <c r="L29" i="5" s="1"/>
  <c r="I9" i="2"/>
  <c r="J28" i="3" s="1"/>
  <c r="I5" i="2"/>
  <c r="M18" i="2" s="1"/>
  <c r="L3" i="5" s="1"/>
  <c r="M23" i="2"/>
  <c r="C72" i="3"/>
  <c r="H34" i="3"/>
  <c r="I8" i="2"/>
  <c r="C71" i="3"/>
  <c r="H35" i="3"/>
  <c r="I7" i="2"/>
  <c r="J8" i="4"/>
  <c r="J7" i="4"/>
  <c r="H6" i="4"/>
  <c r="J6" i="4"/>
  <c r="H4" i="4"/>
  <c r="J9" i="4"/>
  <c r="N21" i="4"/>
  <c r="N33" i="4"/>
  <c r="J4" i="4"/>
  <c r="H5" i="4"/>
  <c r="H7" i="4"/>
  <c r="H8" i="4"/>
  <c r="C70" i="3" l="1"/>
  <c r="L8" i="5"/>
  <c r="J25" i="3"/>
  <c r="J23" i="3"/>
  <c r="C74" i="3"/>
  <c r="M22" i="2"/>
  <c r="L7" i="5" s="1"/>
  <c r="J24" i="3"/>
  <c r="M20" i="2"/>
  <c r="L5" i="5" s="1"/>
  <c r="J26" i="3"/>
  <c r="C73" i="3"/>
  <c r="J27" i="3"/>
  <c r="M21" i="2"/>
  <c r="L6" i="5" s="1"/>
  <c r="C26" i="2"/>
  <c r="B29" i="5" s="1"/>
  <c r="C22" i="2"/>
  <c r="B25" i="5" s="1"/>
  <c r="C23" i="2"/>
  <c r="B26" i="5" s="1"/>
  <c r="C24" i="2"/>
  <c r="B27" i="5" s="1"/>
  <c r="C25" i="2"/>
  <c r="B28" i="5" s="1"/>
  <c r="C21" i="2"/>
  <c r="B22" i="5" s="1"/>
  <c r="B22" i="2"/>
  <c r="A25" i="5" s="1"/>
  <c r="B23" i="2"/>
  <c r="A26" i="5" s="1"/>
  <c r="B24" i="2"/>
  <c r="A27" i="5" s="1"/>
  <c r="B25" i="2"/>
  <c r="A28" i="5" s="1"/>
  <c r="B26" i="2"/>
  <c r="A29" i="5" s="1"/>
  <c r="B21" i="2"/>
  <c r="A22" i="5" s="1"/>
  <c r="C75" i="3" l="1"/>
  <c r="C76" i="3" s="1"/>
  <c r="L16" i="5" s="1"/>
  <c r="J13" i="2"/>
  <c r="C5" i="2"/>
  <c r="C6" i="2"/>
  <c r="C7" i="2"/>
  <c r="C8" i="2"/>
  <c r="C9" i="2"/>
  <c r="C4" i="2"/>
  <c r="F39" i="2" l="1"/>
  <c r="L39" i="2" s="1"/>
  <c r="C92" i="3"/>
  <c r="C98" i="3" s="1"/>
  <c r="L22" i="5" s="1"/>
  <c r="G39" i="2"/>
  <c r="I39" i="2"/>
  <c r="K39" i="2"/>
  <c r="J39" i="2"/>
  <c r="H39" i="2"/>
  <c r="O39" i="2" l="1"/>
  <c r="K44" i="2" s="1"/>
  <c r="V58" i="2" l="1"/>
  <c r="H24" i="3"/>
  <c r="B24" i="3" s="1"/>
  <c r="I44" i="2"/>
  <c r="L44" i="2"/>
  <c r="H44" i="2"/>
  <c r="G44" i="2"/>
  <c r="J44" i="2"/>
  <c r="V54" i="2" l="1"/>
  <c r="H25" i="3"/>
  <c r="V59" i="2"/>
  <c r="H30" i="3"/>
  <c r="V57" i="2"/>
  <c r="V55" i="2"/>
  <c r="H26" i="3"/>
  <c r="V56" i="2"/>
  <c r="H27" i="3"/>
  <c r="H29" i="3"/>
  <c r="F9" i="3" l="1"/>
  <c r="F10" i="3" s="1"/>
  <c r="H28" i="3"/>
  <c r="C24" i="3" s="1"/>
  <c r="C51" i="3" l="1"/>
  <c r="L10" i="5"/>
  <c r="D24" i="3"/>
  <c r="E24" i="3" s="1"/>
  <c r="B25" i="3"/>
  <c r="C25" i="3" s="1"/>
  <c r="B26" i="3" s="1"/>
  <c r="C26" i="3" s="1"/>
  <c r="B27" i="3" s="1"/>
  <c r="D25" i="3" l="1"/>
  <c r="E25" i="3" s="1"/>
  <c r="C27" i="3"/>
  <c r="B28" i="3" s="1"/>
  <c r="D26" i="3"/>
  <c r="E26" i="3" s="1"/>
  <c r="D27" i="3" l="1"/>
  <c r="E27" i="3" s="1"/>
  <c r="C28" i="3"/>
  <c r="B29" i="3" s="1"/>
  <c r="C29" i="3" l="1"/>
  <c r="B30" i="3" s="1"/>
  <c r="D28" i="3"/>
  <c r="E28" i="3" s="1"/>
  <c r="C30" i="3" l="1"/>
  <c r="B31" i="3" s="1"/>
  <c r="D29" i="3"/>
  <c r="E29" i="3" s="1"/>
  <c r="D30" i="3" l="1"/>
  <c r="E30" i="3" s="1"/>
  <c r="C31" i="3"/>
  <c r="B32" i="3" s="1"/>
  <c r="C32" i="3" l="1"/>
  <c r="B33" i="3" s="1"/>
  <c r="D31" i="3"/>
  <c r="E31" i="3" s="1"/>
  <c r="D32" i="3" l="1"/>
  <c r="E32" i="3" s="1"/>
  <c r="C33" i="3"/>
  <c r="B34" i="3" s="1"/>
  <c r="C34" i="3" l="1"/>
  <c r="B35" i="3" s="1"/>
  <c r="D33" i="3"/>
  <c r="E33" i="3" s="1"/>
  <c r="D34" i="3" l="1"/>
  <c r="E34" i="3" s="1"/>
  <c r="C35" i="3"/>
  <c r="B36" i="3" s="1"/>
  <c r="C36" i="3" l="1"/>
  <c r="B37" i="3" s="1"/>
  <c r="C37" i="3" s="1"/>
  <c r="D35" i="3"/>
  <c r="E35" i="3" s="1"/>
  <c r="D37" i="3" l="1"/>
  <c r="E37" i="3" s="1"/>
  <c r="B38" i="3"/>
  <c r="D36" i="3"/>
  <c r="E36" i="3" s="1"/>
  <c r="C38" i="3" l="1"/>
  <c r="H38" i="3" l="1"/>
  <c r="D38" i="3"/>
  <c r="E38" i="3" s="1"/>
  <c r="J38" i="3" l="1"/>
  <c r="L12" i="5"/>
  <c r="C49" i="3" l="1"/>
  <c r="C50" i="3" s="1"/>
  <c r="C52" i="3" s="1"/>
  <c r="L14" i="5"/>
  <c r="C53" i="3" l="1"/>
  <c r="C60" i="3" s="1"/>
  <c r="C61" i="3" s="1"/>
  <c r="L24" i="5" l="1"/>
  <c r="C77" i="3"/>
  <c r="C78" i="3" s="1"/>
  <c r="C80" i="3" s="1"/>
  <c r="B16" i="5" s="1"/>
  <c r="D9" i="5"/>
  <c r="C79" i="3" l="1"/>
  <c r="L20" i="5" s="1"/>
  <c r="L18" i="5"/>
</calcChain>
</file>

<file path=xl/comments1.xml><?xml version="1.0" encoding="utf-8"?>
<comments xmlns="http://schemas.openxmlformats.org/spreadsheetml/2006/main">
  <authors>
    <author>Usuario de Windows</author>
  </authors>
  <commentList>
    <comment ref="H3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En kmol/h</t>
        </r>
      </text>
    </comment>
  </commentList>
</comments>
</file>

<file path=xl/sharedStrings.xml><?xml version="1.0" encoding="utf-8"?>
<sst xmlns="http://schemas.openxmlformats.org/spreadsheetml/2006/main" count="176" uniqueCount="93">
  <si>
    <t>(LK)</t>
  </si>
  <si>
    <t>(HK)</t>
  </si>
  <si>
    <t>C1</t>
  </si>
  <si>
    <t>C2</t>
  </si>
  <si>
    <t>C3</t>
  </si>
  <si>
    <t>iC4</t>
  </si>
  <si>
    <t>nC4</t>
  </si>
  <si>
    <t>iC5</t>
  </si>
  <si>
    <t>nC5</t>
  </si>
  <si>
    <t>nC6</t>
  </si>
  <si>
    <t>nC7</t>
  </si>
  <si>
    <t>Benceno</t>
  </si>
  <si>
    <t>Tolueno</t>
  </si>
  <si>
    <t>o-Xileno</t>
  </si>
  <si>
    <t>m-Xileno</t>
  </si>
  <si>
    <t>p-Xileno</t>
  </si>
  <si>
    <t>DATOS OPERACIONALES</t>
  </si>
  <si>
    <t>Presión</t>
  </si>
  <si>
    <t>Temperatura</t>
  </si>
  <si>
    <t>K</t>
  </si>
  <si>
    <t>°C</t>
  </si>
  <si>
    <t>°F</t>
  </si>
  <si>
    <t>°R</t>
  </si>
  <si>
    <t>-&gt;</t>
  </si>
  <si>
    <t>bar</t>
  </si>
  <si>
    <t>psi</t>
  </si>
  <si>
    <t>Pa</t>
  </si>
  <si>
    <t>atm</t>
  </si>
  <si>
    <t>---</t>
  </si>
  <si>
    <t>DATOS MOLARES</t>
  </si>
  <si>
    <t>Nombre del Componente</t>
  </si>
  <si>
    <t>Entrada (F)</t>
  </si>
  <si>
    <t>Destilado (F)</t>
  </si>
  <si>
    <t>Flujo molar</t>
  </si>
  <si>
    <t>Flujo Molar</t>
  </si>
  <si>
    <t>Fondos (B)</t>
  </si>
  <si>
    <t>Temp</t>
  </si>
  <si>
    <t>Pvapor 3</t>
  </si>
  <si>
    <t>Pvapor 4</t>
  </si>
  <si>
    <t>Pvapor 5</t>
  </si>
  <si>
    <t>Pvapor 1(ba4)</t>
  </si>
  <si>
    <t>Pvapor 2bar)</t>
  </si>
  <si>
    <t>Pvapor 6</t>
  </si>
  <si>
    <t>A</t>
  </si>
  <si>
    <t>B</t>
  </si>
  <si>
    <t>C</t>
  </si>
  <si>
    <t>P total</t>
  </si>
  <si>
    <t>Kequilibrio</t>
  </si>
  <si>
    <t>D</t>
  </si>
  <si>
    <t>E</t>
  </si>
  <si>
    <t>F</t>
  </si>
  <si>
    <t>VALOR DE q</t>
  </si>
  <si>
    <t>q</t>
  </si>
  <si>
    <t>i</t>
  </si>
  <si>
    <r>
      <t>x</t>
    </r>
    <r>
      <rPr>
        <b/>
        <vertAlign val="subscript"/>
        <sz val="11"/>
        <color theme="1"/>
        <rFont val="Candara"/>
        <family val="2"/>
      </rPr>
      <t>n-1</t>
    </r>
  </si>
  <si>
    <r>
      <t>x</t>
    </r>
    <r>
      <rPr>
        <b/>
        <vertAlign val="subscript"/>
        <sz val="11"/>
        <color theme="1"/>
        <rFont val="Candara"/>
        <family val="2"/>
      </rPr>
      <t>n</t>
    </r>
  </si>
  <si>
    <t>PARÁMETROS</t>
  </si>
  <si>
    <t>q=</t>
  </si>
  <si>
    <r>
      <t>x</t>
    </r>
    <r>
      <rPr>
        <vertAlign val="subscript"/>
        <sz val="11"/>
        <color theme="1"/>
        <rFont val="Candara"/>
        <family val="2"/>
      </rPr>
      <t>0</t>
    </r>
    <r>
      <rPr>
        <sz val="11"/>
        <color theme="1"/>
        <rFont val="Candara"/>
        <family val="2"/>
      </rPr>
      <t>=</t>
    </r>
  </si>
  <si>
    <t>Error</t>
  </si>
  <si>
    <t>Error %</t>
  </si>
  <si>
    <t>ϴ=</t>
  </si>
  <si>
    <t>Método de Newton-Raphson para determinar el valor de ϴ</t>
  </si>
  <si>
    <r>
      <t>R</t>
    </r>
    <r>
      <rPr>
        <b/>
        <vertAlign val="subscript"/>
        <sz val="11"/>
        <color theme="1"/>
        <rFont val="Candara"/>
        <family val="2"/>
      </rPr>
      <t>m</t>
    </r>
    <r>
      <rPr>
        <b/>
        <sz val="11"/>
        <color theme="1"/>
        <rFont val="Candara"/>
        <family val="2"/>
      </rPr>
      <t>=</t>
    </r>
  </si>
  <si>
    <t>Constante para el reflujo</t>
  </si>
  <si>
    <r>
      <t>R</t>
    </r>
    <r>
      <rPr>
        <vertAlign val="subscript"/>
        <sz val="11"/>
        <color theme="1"/>
        <rFont val="Candara"/>
        <family val="2"/>
      </rPr>
      <t>m</t>
    </r>
    <r>
      <rPr>
        <sz val="11"/>
        <color theme="1"/>
        <rFont val="Candara"/>
        <family val="2"/>
      </rPr>
      <t>=</t>
    </r>
  </si>
  <si>
    <t>R=</t>
  </si>
  <si>
    <r>
      <t>n</t>
    </r>
    <r>
      <rPr>
        <b/>
        <vertAlign val="subscript"/>
        <sz val="11"/>
        <rFont val="Candara"/>
        <family val="2"/>
      </rPr>
      <t>min</t>
    </r>
    <r>
      <rPr>
        <b/>
        <sz val="11"/>
        <rFont val="Candara"/>
        <family val="2"/>
      </rPr>
      <t>=</t>
    </r>
  </si>
  <si>
    <r>
      <t>n</t>
    </r>
    <r>
      <rPr>
        <vertAlign val="subscript"/>
        <sz val="11"/>
        <color theme="1"/>
        <rFont val="Candara"/>
        <family val="2"/>
      </rPr>
      <t>min</t>
    </r>
    <r>
      <rPr>
        <sz val="11"/>
        <color theme="1"/>
        <rFont val="Candara"/>
        <family val="2"/>
      </rPr>
      <t>=</t>
    </r>
  </si>
  <si>
    <t>Y=</t>
  </si>
  <si>
    <t>X=</t>
  </si>
  <si>
    <t>N=</t>
  </si>
  <si>
    <t>B=</t>
  </si>
  <si>
    <t>D=</t>
  </si>
  <si>
    <t>Plato de Alimentación n°</t>
  </si>
  <si>
    <t>Destilado (D)</t>
  </si>
  <si>
    <t>Plato de Alimentación</t>
  </si>
  <si>
    <t>n°</t>
  </si>
  <si>
    <t>Densidad Líquido</t>
  </si>
  <si>
    <t>Densidad Gas</t>
  </si>
  <si>
    <t>kmol/h</t>
  </si>
  <si>
    <t>Kmol/h</t>
  </si>
  <si>
    <t>Distancia entre platos</t>
  </si>
  <si>
    <t>cm</t>
  </si>
  <si>
    <t>mm</t>
  </si>
  <si>
    <t>Altura de Cierre de líquido en los platos</t>
  </si>
  <si>
    <t>mmHg</t>
  </si>
  <si>
    <t>m/s</t>
  </si>
  <si>
    <t>Diámetro</t>
  </si>
  <si>
    <t>m</t>
  </si>
  <si>
    <t>Altura=</t>
  </si>
  <si>
    <t>Espacio entre platos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</si>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</sst>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sz val="11"/>
      <color theme="9" tint="-0.499984740745262"/>
      <name val="Candara"/>
      <family val="2"/>
    </font>
    <font>
      <sz val="11"/>
      <color theme="5" tint="-0.499984740745262"/>
      <name val="Candara"/>
      <family val="2"/>
    </font>
    <font>
      <b/>
      <vertAlign val="subscript"/>
      <sz val="11"/>
      <color theme="1"/>
      <name val="Candara"/>
      <family val="2"/>
    </font>
    <font>
      <vertAlign val="subscript"/>
      <sz val="11"/>
      <color theme="1"/>
      <name val="Candara"/>
      <family val="2"/>
    </font>
    <font>
      <b/>
      <sz val="11"/>
      <name val="Candara"/>
      <family val="2"/>
    </font>
    <font>
      <b/>
      <vertAlign val="subscript"/>
      <sz val="11"/>
      <name val="Candar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ndar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1" fillId="3" borderId="2" xfId="0" applyFont="1" applyFill="1" applyBorder="1"/>
    <xf numFmtId="0" fontId="1" fillId="3" borderId="3" xfId="0" applyFont="1" applyFill="1" applyBorder="1"/>
    <xf numFmtId="0" fontId="1" fillId="4" borderId="1" xfId="0" applyFont="1" applyFill="1" applyBorder="1"/>
    <xf numFmtId="0" fontId="1" fillId="4" borderId="4" xfId="0" applyFont="1" applyFill="1" applyBorder="1"/>
    <xf numFmtId="0" fontId="1" fillId="6" borderId="1" xfId="0" applyFont="1" applyFill="1" applyBorder="1"/>
    <xf numFmtId="0" fontId="1" fillId="6" borderId="4" xfId="0" applyFont="1" applyFill="1" applyBorder="1"/>
    <xf numFmtId="0" fontId="1" fillId="4" borderId="14" xfId="0" applyFont="1" applyFill="1" applyBorder="1"/>
    <xf numFmtId="0" fontId="1" fillId="6" borderId="14" xfId="0" applyFont="1" applyFill="1" applyBorder="1"/>
    <xf numFmtId="0" fontId="1" fillId="5" borderId="19" xfId="0" applyFont="1" applyFill="1" applyBorder="1"/>
    <xf numFmtId="0" fontId="1" fillId="5" borderId="0" xfId="0" applyFont="1" applyFill="1" applyBorder="1"/>
    <xf numFmtId="0" fontId="1" fillId="5" borderId="0" xfId="0" quotePrefix="1" applyFont="1" applyFill="1" applyBorder="1"/>
    <xf numFmtId="0" fontId="2" fillId="5" borderId="20" xfId="0" applyFont="1" applyFill="1" applyBorder="1"/>
    <xf numFmtId="0" fontId="1" fillId="5" borderId="21" xfId="0" applyFont="1" applyFill="1" applyBorder="1"/>
    <xf numFmtId="0" fontId="1" fillId="5" borderId="22" xfId="0" applyFont="1" applyFill="1" applyBorder="1"/>
    <xf numFmtId="0" fontId="1" fillId="5" borderId="22" xfId="0" applyFont="1" applyFill="1" applyBorder="1" applyAlignment="1">
      <alignment horizontal="left"/>
    </xf>
    <xf numFmtId="0" fontId="1" fillId="5" borderId="22" xfId="0" quotePrefix="1" applyFont="1" applyFill="1" applyBorder="1"/>
    <xf numFmtId="0" fontId="2" fillId="5" borderId="23" xfId="0" applyFont="1" applyFill="1" applyBorder="1"/>
    <xf numFmtId="0" fontId="2" fillId="5" borderId="0" xfId="0" applyFont="1" applyFill="1" applyBorder="1"/>
    <xf numFmtId="0" fontId="2" fillId="5" borderId="22" xfId="0" applyNumberFormat="1" applyFont="1" applyFill="1" applyBorder="1"/>
    <xf numFmtId="0" fontId="3" fillId="4" borderId="8" xfId="0" applyFont="1" applyFill="1" applyBorder="1"/>
    <xf numFmtId="0" fontId="4" fillId="6" borderId="8" xfId="0" applyFont="1" applyFill="1" applyBorder="1"/>
    <xf numFmtId="0" fontId="1" fillId="7" borderId="0" xfId="0" applyFont="1" applyFill="1"/>
    <xf numFmtId="0" fontId="1" fillId="7" borderId="0" xfId="0" quotePrefix="1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14" xfId="0" applyFont="1" applyFill="1" applyBorder="1"/>
    <xf numFmtId="0" fontId="1" fillId="7" borderId="8" xfId="0" applyFont="1" applyFill="1" applyBorder="1"/>
    <xf numFmtId="0" fontId="1" fillId="7" borderId="1" xfId="0" applyFont="1" applyFill="1" applyBorder="1"/>
    <xf numFmtId="0" fontId="1" fillId="7" borderId="4" xfId="0" applyFont="1" applyFill="1" applyBorder="1"/>
    <xf numFmtId="0" fontId="1" fillId="7" borderId="15" xfId="0" applyFont="1" applyFill="1" applyBorder="1"/>
    <xf numFmtId="0" fontId="1" fillId="7" borderId="9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" fillId="7" borderId="0" xfId="0" applyFont="1" applyFill="1" applyBorder="1"/>
    <xf numFmtId="0" fontId="1" fillId="7" borderId="24" xfId="0" applyFont="1" applyFill="1" applyBorder="1"/>
    <xf numFmtId="0" fontId="1" fillId="7" borderId="25" xfId="0" applyFont="1" applyFill="1" applyBorder="1"/>
    <xf numFmtId="0" fontId="1" fillId="7" borderId="26" xfId="0" applyFont="1" applyFill="1" applyBorder="1"/>
    <xf numFmtId="0" fontId="1" fillId="6" borderId="2" xfId="0" applyFont="1" applyFill="1" applyBorder="1"/>
    <xf numFmtId="0" fontId="1" fillId="6" borderId="25" xfId="0" applyFont="1" applyFill="1" applyBorder="1"/>
    <xf numFmtId="0" fontId="1" fillId="4" borderId="25" xfId="0" applyFont="1" applyFill="1" applyBorder="1"/>
    <xf numFmtId="0" fontId="1" fillId="4" borderId="1" xfId="0" applyFont="1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1" fillId="7" borderId="1" xfId="0" applyFont="1" applyFill="1" applyBorder="1" applyProtection="1">
      <protection locked="0"/>
    </xf>
    <xf numFmtId="0" fontId="1" fillId="7" borderId="5" xfId="0" applyFont="1" applyFill="1" applyBorder="1" applyProtection="1">
      <protection locked="0"/>
    </xf>
    <xf numFmtId="0" fontId="1" fillId="7" borderId="11" xfId="0" applyFont="1" applyFill="1" applyBorder="1" applyProtection="1">
      <protection locked="0"/>
    </xf>
    <xf numFmtId="0" fontId="1" fillId="4" borderId="11" xfId="0" applyFont="1" applyFill="1" applyBorder="1" applyProtection="1">
      <protection locked="0"/>
    </xf>
    <xf numFmtId="0" fontId="1" fillId="6" borderId="11" xfId="0" applyFont="1" applyFill="1" applyBorder="1" applyProtection="1">
      <protection locked="0"/>
    </xf>
    <xf numFmtId="0" fontId="1" fillId="7" borderId="12" xfId="0" applyFont="1" applyFill="1" applyBorder="1" applyProtection="1">
      <protection locked="0"/>
    </xf>
    <xf numFmtId="0" fontId="1" fillId="7" borderId="27" xfId="0" applyFont="1" applyFill="1" applyBorder="1"/>
    <xf numFmtId="0" fontId="1" fillId="7" borderId="28" xfId="0" applyFont="1" applyFill="1" applyBorder="1"/>
    <xf numFmtId="0" fontId="1" fillId="6" borderId="5" xfId="0" applyFont="1" applyFill="1" applyBorder="1"/>
    <xf numFmtId="0" fontId="1" fillId="6" borderId="0" xfId="0" applyFont="1" applyFill="1" applyBorder="1"/>
    <xf numFmtId="0" fontId="1" fillId="6" borderId="28" xfId="0" applyFont="1" applyFill="1" applyBorder="1"/>
    <xf numFmtId="0" fontId="1" fillId="4" borderId="2" xfId="0" applyFont="1" applyFill="1" applyBorder="1"/>
    <xf numFmtId="0" fontId="1" fillId="4" borderId="5" xfId="0" applyFont="1" applyFill="1" applyBorder="1"/>
    <xf numFmtId="0" fontId="1" fillId="4" borderId="0" xfId="0" applyFont="1" applyFill="1" applyBorder="1"/>
    <xf numFmtId="0" fontId="1" fillId="4" borderId="28" xfId="0" applyFont="1" applyFill="1" applyBorder="1"/>
    <xf numFmtId="0" fontId="3" fillId="4" borderId="1" xfId="0" applyFont="1" applyFill="1" applyBorder="1"/>
    <xf numFmtId="0" fontId="4" fillId="6" borderId="1" xfId="0" applyFont="1" applyFill="1" applyBorder="1"/>
    <xf numFmtId="0" fontId="1" fillId="7" borderId="8" xfId="0" applyFont="1" applyFill="1" applyBorder="1" applyProtection="1">
      <protection locked="0"/>
    </xf>
    <xf numFmtId="0" fontId="1" fillId="4" borderId="8" xfId="0" applyFont="1" applyFill="1" applyBorder="1" applyProtection="1">
      <protection locked="0"/>
    </xf>
    <xf numFmtId="0" fontId="1" fillId="6" borderId="8" xfId="0" applyFont="1" applyFill="1" applyBorder="1" applyProtection="1">
      <protection locked="0"/>
    </xf>
    <xf numFmtId="0" fontId="1" fillId="7" borderId="9" xfId="0" applyFont="1" applyFill="1" applyBorder="1" applyProtection="1">
      <protection locked="0"/>
    </xf>
    <xf numFmtId="0" fontId="1" fillId="7" borderId="11" xfId="0" applyFont="1" applyFill="1" applyBorder="1"/>
    <xf numFmtId="0" fontId="1" fillId="7" borderId="12" xfId="0" applyFont="1" applyFill="1" applyBorder="1"/>
    <xf numFmtId="0" fontId="1" fillId="6" borderId="21" xfId="0" applyFont="1" applyFill="1" applyBorder="1"/>
    <xf numFmtId="0" fontId="2" fillId="7" borderId="1" xfId="0" applyFont="1" applyFill="1" applyBorder="1"/>
    <xf numFmtId="0" fontId="2" fillId="7" borderId="4" xfId="0" applyFont="1" applyFill="1" applyBorder="1"/>
    <xf numFmtId="0" fontId="2" fillId="7" borderId="1" xfId="0" applyFont="1" applyFill="1" applyBorder="1" applyAlignment="1">
      <alignment horizontal="center"/>
    </xf>
    <xf numFmtId="0" fontId="2" fillId="7" borderId="25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0" fontId="2" fillId="7" borderId="0" xfId="0" applyFont="1" applyFill="1" applyBorder="1"/>
    <xf numFmtId="0" fontId="2" fillId="7" borderId="0" xfId="0" applyFont="1" applyFill="1" applyBorder="1" applyAlignment="1"/>
    <xf numFmtId="10" fontId="1" fillId="7" borderId="4" xfId="0" applyNumberFormat="1" applyFont="1" applyFill="1" applyBorder="1"/>
    <xf numFmtId="0" fontId="2" fillId="4" borderId="29" xfId="0" applyFont="1" applyFill="1" applyBorder="1"/>
    <xf numFmtId="0" fontId="2" fillId="4" borderId="31" xfId="0" applyFont="1" applyFill="1" applyBorder="1"/>
    <xf numFmtId="0" fontId="2" fillId="8" borderId="26" xfId="0" applyFont="1" applyFill="1" applyBorder="1" applyAlignment="1">
      <alignment horizontal="center"/>
    </xf>
    <xf numFmtId="0" fontId="2" fillId="8" borderId="5" xfId="0" applyFont="1" applyFill="1" applyBorder="1"/>
    <xf numFmtId="10" fontId="2" fillId="8" borderId="6" xfId="0" applyNumberFormat="1" applyFont="1" applyFill="1" applyBorder="1"/>
    <xf numFmtId="0" fontId="1" fillId="6" borderId="23" xfId="0" applyFont="1" applyFill="1" applyBorder="1" applyProtection="1">
      <protection locked="0"/>
    </xf>
    <xf numFmtId="0" fontId="1" fillId="7" borderId="0" xfId="0" applyFont="1" applyFill="1" applyBorder="1" applyAlignment="1">
      <alignment horizontal="center"/>
    </xf>
    <xf numFmtId="0" fontId="1" fillId="7" borderId="22" xfId="0" applyFont="1" applyFill="1" applyBorder="1" applyAlignment="1">
      <alignment horizontal="center"/>
    </xf>
    <xf numFmtId="0" fontId="1" fillId="4" borderId="31" xfId="0" applyFont="1" applyFill="1" applyBorder="1"/>
    <xf numFmtId="0" fontId="7" fillId="4" borderId="29" xfId="0" applyFont="1" applyFill="1" applyBorder="1"/>
    <xf numFmtId="0" fontId="2" fillId="4" borderId="25" xfId="0" applyFont="1" applyFill="1" applyBorder="1"/>
    <xf numFmtId="0" fontId="2" fillId="4" borderId="4" xfId="0" applyFont="1" applyFill="1" applyBorder="1"/>
    <xf numFmtId="0" fontId="1" fillId="7" borderId="33" xfId="0" applyFont="1" applyFill="1" applyBorder="1"/>
    <xf numFmtId="0" fontId="1" fillId="7" borderId="34" xfId="0" applyFont="1" applyFill="1" applyBorder="1"/>
    <xf numFmtId="0" fontId="2" fillId="4" borderId="35" xfId="0" applyFont="1" applyFill="1" applyBorder="1"/>
    <xf numFmtId="0" fontId="2" fillId="4" borderId="36" xfId="0" applyFont="1" applyFill="1" applyBorder="1"/>
    <xf numFmtId="0" fontId="2" fillId="4" borderId="24" xfId="0" applyFont="1" applyFill="1" applyBorder="1"/>
    <xf numFmtId="0" fontId="2" fillId="4" borderId="3" xfId="0" applyFont="1" applyFill="1" applyBorder="1"/>
    <xf numFmtId="0" fontId="1" fillId="4" borderId="26" xfId="0" applyFont="1" applyFill="1" applyBorder="1"/>
    <xf numFmtId="0" fontId="1" fillId="4" borderId="6" xfId="0" applyFont="1" applyFill="1" applyBorder="1"/>
    <xf numFmtId="0" fontId="2" fillId="4" borderId="6" xfId="0" applyFont="1" applyFill="1" applyBorder="1"/>
    <xf numFmtId="0" fontId="7" fillId="4" borderId="24" xfId="0" applyFont="1" applyFill="1" applyBorder="1"/>
    <xf numFmtId="0" fontId="1" fillId="4" borderId="3" xfId="0" applyFont="1" applyFill="1" applyBorder="1"/>
    <xf numFmtId="0" fontId="7" fillId="4" borderId="26" xfId="0" applyFont="1" applyFill="1" applyBorder="1"/>
    <xf numFmtId="0" fontId="1" fillId="7" borderId="4" xfId="0" applyFont="1" applyFill="1" applyBorder="1" applyAlignment="1">
      <alignment vertical="center"/>
    </xf>
    <xf numFmtId="0" fontId="2" fillId="4" borderId="26" xfId="0" applyFont="1" applyFill="1" applyBorder="1"/>
    <xf numFmtId="0" fontId="1" fillId="7" borderId="34" xfId="0" applyFont="1" applyFill="1" applyBorder="1" applyAlignment="1">
      <alignment vertical="center"/>
    </xf>
    <xf numFmtId="0" fontId="1" fillId="5" borderId="0" xfId="0" quotePrefix="1" applyFont="1" applyFill="1" applyBorder="1" applyProtection="1">
      <protection locked="0"/>
    </xf>
    <xf numFmtId="0" fontId="1" fillId="5" borderId="22" xfId="0" applyFont="1" applyFill="1" applyBorder="1" applyProtection="1">
      <protection locked="0"/>
    </xf>
    <xf numFmtId="0" fontId="1" fillId="7" borderId="4" xfId="0" applyFont="1" applyFill="1" applyBorder="1" applyProtection="1">
      <protection locked="0"/>
    </xf>
    <xf numFmtId="0" fontId="1" fillId="7" borderId="0" xfId="0" applyFont="1" applyFill="1" applyProtection="1">
      <protection locked="0"/>
    </xf>
    <xf numFmtId="0" fontId="1" fillId="7" borderId="0" xfId="0" applyFont="1" applyFill="1" applyAlignment="1">
      <alignment horizontal="center"/>
    </xf>
    <xf numFmtId="0" fontId="2" fillId="4" borderId="31" xfId="0" applyFont="1" applyFill="1" applyBorder="1" applyAlignment="1">
      <alignment vertical="center"/>
    </xf>
    <xf numFmtId="0" fontId="1" fillId="4" borderId="29" xfId="0" applyFont="1" applyFill="1" applyBorder="1" applyAlignment="1">
      <alignment horizontal="right" vertical="top"/>
    </xf>
    <xf numFmtId="0" fontId="1" fillId="4" borderId="31" xfId="0" applyFont="1" applyFill="1" applyBorder="1" applyAlignment="1">
      <alignment vertical="top"/>
    </xf>
    <xf numFmtId="0" fontId="2" fillId="7" borderId="0" xfId="0" applyFont="1" applyFill="1" applyBorder="1" applyAlignment="1">
      <alignment horizontal="center"/>
    </xf>
    <xf numFmtId="0" fontId="1" fillId="4" borderId="32" xfId="0" applyFont="1" applyFill="1" applyBorder="1"/>
    <xf numFmtId="0" fontId="2" fillId="9" borderId="35" xfId="0" applyFont="1" applyFill="1" applyBorder="1"/>
    <xf numFmtId="0" fontId="2" fillId="9" borderId="36" xfId="0" applyFont="1" applyFill="1" applyBorder="1"/>
    <xf numFmtId="0" fontId="1" fillId="3" borderId="35" xfId="0" applyFont="1" applyFill="1" applyBorder="1"/>
    <xf numFmtId="0" fontId="1" fillId="3" borderId="36" xfId="0" applyFont="1" applyFill="1" applyBorder="1"/>
    <xf numFmtId="0" fontId="2" fillId="3" borderId="35" xfId="0" applyFont="1" applyFill="1" applyBorder="1"/>
    <xf numFmtId="0" fontId="2" fillId="3" borderId="36" xfId="0" applyFont="1" applyFill="1" applyBorder="1"/>
    <xf numFmtId="0" fontId="1" fillId="5" borderId="0" xfId="0" applyFont="1" applyFill="1" applyBorder="1" applyProtection="1">
      <protection locked="0"/>
    </xf>
    <xf numFmtId="0" fontId="1" fillId="5" borderId="0" xfId="0" applyFont="1" applyFill="1" applyBorder="1" applyAlignment="1">
      <alignment horizontal="left"/>
    </xf>
    <xf numFmtId="0" fontId="2" fillId="5" borderId="0" xfId="0" applyNumberFormat="1" applyFont="1" applyFill="1" applyBorder="1"/>
    <xf numFmtId="0" fontId="1" fillId="5" borderId="20" xfId="0" applyFont="1" applyFill="1" applyBorder="1"/>
    <xf numFmtId="0" fontId="1" fillId="5" borderId="23" xfId="0" applyFont="1" applyFill="1" applyBorder="1"/>
    <xf numFmtId="0" fontId="1" fillId="7" borderId="37" xfId="0" applyFont="1" applyFill="1" applyBorder="1"/>
    <xf numFmtId="0" fontId="1" fillId="7" borderId="38" xfId="0" applyFont="1" applyFill="1" applyBorder="1"/>
    <xf numFmtId="0" fontId="1" fillId="7" borderId="39" xfId="0" applyFont="1" applyFill="1" applyBorder="1"/>
    <xf numFmtId="0" fontId="1" fillId="7" borderId="40" xfId="0" applyFont="1" applyFill="1" applyBorder="1"/>
    <xf numFmtId="0" fontId="2" fillId="4" borderId="41" xfId="0" applyFont="1" applyFill="1" applyBorder="1"/>
    <xf numFmtId="0" fontId="1" fillId="5" borderId="37" xfId="0" applyFont="1" applyFill="1" applyBorder="1"/>
    <xf numFmtId="0" fontId="1" fillId="5" borderId="39" xfId="0" applyFont="1" applyFill="1" applyBorder="1" applyProtection="1">
      <protection locked="0"/>
    </xf>
    <xf numFmtId="0" fontId="2" fillId="4" borderId="42" xfId="0" applyFont="1" applyFill="1" applyBorder="1"/>
    <xf numFmtId="0" fontId="1" fillId="7" borderId="43" xfId="0" applyFont="1" applyFill="1" applyBorder="1"/>
    <xf numFmtId="0" fontId="1" fillId="7" borderId="44" xfId="0" applyFont="1" applyFill="1" applyBorder="1"/>
    <xf numFmtId="0" fontId="1" fillId="7" borderId="0" xfId="0" applyFont="1" applyFill="1" applyBorder="1" applyAlignment="1"/>
    <xf numFmtId="0" fontId="11" fillId="7" borderId="0" xfId="0" applyFont="1" applyFill="1"/>
    <xf numFmtId="0" fontId="1" fillId="4" borderId="29" xfId="0" applyFont="1" applyFill="1" applyBorder="1"/>
    <xf numFmtId="0" fontId="2" fillId="7" borderId="1" xfId="0" applyFont="1" applyFill="1" applyBorder="1" applyProtection="1">
      <protection locked="0"/>
    </xf>
    <xf numFmtId="0" fontId="2" fillId="4" borderId="1" xfId="0" applyFont="1" applyFill="1" applyBorder="1" applyProtection="1">
      <protection locked="0"/>
    </xf>
    <xf numFmtId="0" fontId="2" fillId="6" borderId="1" xfId="0" applyFont="1" applyFill="1" applyBorder="1" applyProtection="1">
      <protection locked="0"/>
    </xf>
    <xf numFmtId="0" fontId="2" fillId="7" borderId="5" xfId="0" applyFont="1" applyFill="1" applyBorder="1" applyProtection="1">
      <protection locked="0"/>
    </xf>
    <xf numFmtId="0" fontId="2" fillId="5" borderId="22" xfId="0" applyFont="1" applyFill="1" applyBorder="1"/>
    <xf numFmtId="2" fontId="2" fillId="4" borderId="31" xfId="0" applyNumberFormat="1" applyFont="1" applyFill="1" applyBorder="1"/>
    <xf numFmtId="164" fontId="1" fillId="7" borderId="4" xfId="0" applyNumberFormat="1" applyFont="1" applyFill="1" applyBorder="1"/>
    <xf numFmtId="0" fontId="1" fillId="7" borderId="0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" fillId="5" borderId="18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7" borderId="22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0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hyperlink" Target="#Parametrizaci&#243;n!B4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C&#225;lculos!F10"/><Relationship Id="rId1" Type="http://schemas.openxmlformats.org/officeDocument/2006/relationships/hyperlink" Target="#Portada!F15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&#225;lculos!F63"/><Relationship Id="rId3" Type="http://schemas.openxmlformats.org/officeDocument/2006/relationships/hyperlink" Target="#C&#225;lculos!F1"/><Relationship Id="rId7" Type="http://schemas.openxmlformats.org/officeDocument/2006/relationships/hyperlink" Target="#C&#225;lculos!F41"/><Relationship Id="rId2" Type="http://schemas.openxmlformats.org/officeDocument/2006/relationships/hyperlink" Target="#C&#225;lculos!F101"/><Relationship Id="rId1" Type="http://schemas.openxmlformats.org/officeDocument/2006/relationships/hyperlink" Target="#C&#225;lculos!F38"/><Relationship Id="rId6" Type="http://schemas.openxmlformats.org/officeDocument/2006/relationships/hyperlink" Target="#C&#225;lculos!F81"/><Relationship Id="rId5" Type="http://schemas.openxmlformats.org/officeDocument/2006/relationships/hyperlink" Target="#C&#225;lculos!F18"/><Relationship Id="rId10" Type="http://schemas.openxmlformats.org/officeDocument/2006/relationships/hyperlink" Target="#Parametrizaci&#243;n!A1"/><Relationship Id="rId4" Type="http://schemas.openxmlformats.org/officeDocument/2006/relationships/hyperlink" Target="#C&#225;lculos!F61"/><Relationship Id="rId9" Type="http://schemas.openxmlformats.org/officeDocument/2006/relationships/hyperlink" Target="#'P&#225;gina Final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&#225;lculos!A1"/><Relationship Id="rId2" Type="http://schemas.openxmlformats.org/officeDocument/2006/relationships/hyperlink" Target="#Parametrizaci&#243;n!A1"/><Relationship Id="rId1" Type="http://schemas.openxmlformats.org/officeDocument/2006/relationships/hyperlink" Target="#Portada!F1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0</xdr:row>
      <xdr:rowOff>160020</xdr:rowOff>
    </xdr:from>
    <xdr:to>
      <xdr:col>10</xdr:col>
      <xdr:colOff>175260</xdr:colOff>
      <xdr:row>25</xdr:row>
      <xdr:rowOff>152086</xdr:rowOff>
    </xdr:to>
    <xdr:pic>
      <xdr:nvPicPr>
        <xdr:cNvPr id="3" name="Picture 2" descr="https://thumbs.dreamstime.com/b/torres-de-columna-destilaci%C3%B3n-con-fondo-azul-del-cielo-en-planta-qu%C3%ADmica-antiguas-torre-164993343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Blur radius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60020"/>
          <a:ext cx="6850380" cy="4564066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53340</xdr:colOff>
      <xdr:row>2</xdr:row>
      <xdr:rowOff>60960</xdr:rowOff>
    </xdr:from>
    <xdr:to>
      <xdr:col>9</xdr:col>
      <xdr:colOff>640080</xdr:colOff>
      <xdr:row>24</xdr:row>
      <xdr:rowOff>53340</xdr:rowOff>
    </xdr:to>
    <xdr:sp macro="" textlink="">
      <xdr:nvSpPr>
        <xdr:cNvPr id="4" name="Rectángulo redondeado 3"/>
        <xdr:cNvSpPr/>
      </xdr:nvSpPr>
      <xdr:spPr>
        <a:xfrm>
          <a:off x="1638300" y="426720"/>
          <a:ext cx="6134100" cy="4015740"/>
        </a:xfrm>
        <a:prstGeom prst="roundRect">
          <a:avLst/>
        </a:prstGeom>
        <a:solidFill>
          <a:schemeClr val="accent1">
            <a:lumMod val="60000"/>
            <a:lumOff val="40000"/>
            <a:alpha val="74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106680</xdr:colOff>
      <xdr:row>8</xdr:row>
      <xdr:rowOff>175260</xdr:rowOff>
    </xdr:from>
    <xdr:to>
      <xdr:col>4</xdr:col>
      <xdr:colOff>306021</xdr:colOff>
      <xdr:row>17</xdr:row>
      <xdr:rowOff>49530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91640" y="1638300"/>
          <a:ext cx="1784301" cy="1520190"/>
        </a:xfrm>
        <a:prstGeom prst="rect">
          <a:avLst/>
        </a:prstGeom>
      </xdr:spPr>
    </xdr:pic>
    <xdr:clientData/>
  </xdr:twoCellAnchor>
  <xdr:twoCellAnchor>
    <xdr:from>
      <xdr:col>4</xdr:col>
      <xdr:colOff>220980</xdr:colOff>
      <xdr:row>13</xdr:row>
      <xdr:rowOff>15240</xdr:rowOff>
    </xdr:from>
    <xdr:to>
      <xdr:col>9</xdr:col>
      <xdr:colOff>160020</xdr:colOff>
      <xdr:row>16</xdr:row>
      <xdr:rowOff>167640</xdr:rowOff>
    </xdr:to>
    <xdr:sp macro="" textlink="">
      <xdr:nvSpPr>
        <xdr:cNvPr id="6" name="CuadroTexto 5"/>
        <xdr:cNvSpPr txBox="1"/>
      </xdr:nvSpPr>
      <xdr:spPr>
        <a:xfrm>
          <a:off x="3390900" y="2392680"/>
          <a:ext cx="3901440" cy="701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aseline="0">
              <a:latin typeface="Candara" panose="020E0502030303020204" pitchFamily="34" charset="0"/>
              <a:ea typeface="Cambria Math" panose="02040503050406030204" pitchFamily="18" charset="0"/>
            </a:rPr>
            <a:t>Realizado por:</a:t>
          </a:r>
          <a:br>
            <a:rPr lang="en-US" sz="1800" baseline="0">
              <a:latin typeface="Candara" panose="020E0502030303020204" pitchFamily="34" charset="0"/>
              <a:ea typeface="Cambria Math" panose="02040503050406030204" pitchFamily="18" charset="0"/>
            </a:rPr>
          </a:br>
          <a:r>
            <a:rPr lang="en-US" sz="1800" baseline="0">
              <a:latin typeface="Candara" panose="020E0502030303020204" pitchFamily="34" charset="0"/>
              <a:ea typeface="Cambria Math" panose="02040503050406030204" pitchFamily="18" charset="0"/>
            </a:rPr>
            <a:t>Gabriel Astudillo</a:t>
          </a:r>
        </a:p>
        <a:p>
          <a:pPr algn="ctr"/>
          <a:endParaRPr lang="en-US" sz="1600">
            <a:latin typeface="Candara" panose="020E0502030303020204" pitchFamily="34" charset="0"/>
            <a:ea typeface="Cambria Math" panose="02040503050406030204" pitchFamily="18" charset="0"/>
          </a:endParaRPr>
        </a:p>
      </xdr:txBody>
    </xdr:sp>
    <xdr:clientData/>
  </xdr:twoCellAnchor>
  <xdr:twoCellAnchor>
    <xdr:from>
      <xdr:col>4</xdr:col>
      <xdr:colOff>274320</xdr:colOff>
      <xdr:row>3</xdr:row>
      <xdr:rowOff>114300</xdr:rowOff>
    </xdr:from>
    <xdr:to>
      <xdr:col>9</xdr:col>
      <xdr:colOff>213360</xdr:colOff>
      <xdr:row>13</xdr:row>
      <xdr:rowOff>114300</xdr:rowOff>
    </xdr:to>
    <xdr:sp macro="" textlink="">
      <xdr:nvSpPr>
        <xdr:cNvPr id="7" name="CuadroTexto 6"/>
        <xdr:cNvSpPr txBox="1"/>
      </xdr:nvSpPr>
      <xdr:spPr>
        <a:xfrm>
          <a:off x="3444240" y="662940"/>
          <a:ext cx="3901440" cy="1828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>
              <a:latin typeface="Franklin Gothic Demi" panose="020B0703020102020204" pitchFamily="34" charset="0"/>
              <a:ea typeface="Cambria Math" panose="02040503050406030204" pitchFamily="18" charset="0"/>
            </a:rPr>
            <a:t>SIMULADOR</a:t>
          </a:r>
          <a:r>
            <a:rPr lang="en-US" sz="2800" baseline="0">
              <a:latin typeface="Franklin Gothic Demi" panose="020B0703020102020204" pitchFamily="34" charset="0"/>
              <a:ea typeface="Cambria Math" panose="02040503050406030204" pitchFamily="18" charset="0"/>
            </a:rPr>
            <a:t> PARA DIMENSIONAMIENTO TEÓRICO DE DESTILADORES</a:t>
          </a:r>
        </a:p>
        <a:p>
          <a:pPr algn="ctr"/>
          <a:endParaRPr lang="en-US" sz="2400">
            <a:latin typeface="Franklin Gothic Demi" panose="020B0703020102020204" pitchFamily="34" charset="0"/>
            <a:ea typeface="Cambria Math" panose="02040503050406030204" pitchFamily="18" charset="0"/>
          </a:endParaRPr>
        </a:p>
      </xdr:txBody>
    </xdr:sp>
    <xdr:clientData/>
  </xdr:twoCellAnchor>
  <xdr:twoCellAnchor>
    <xdr:from>
      <xdr:col>5</xdr:col>
      <xdr:colOff>91440</xdr:colOff>
      <xdr:row>16</xdr:row>
      <xdr:rowOff>106680</xdr:rowOff>
    </xdr:from>
    <xdr:to>
      <xdr:col>8</xdr:col>
      <xdr:colOff>686281</xdr:colOff>
      <xdr:row>22</xdr:row>
      <xdr:rowOff>149357</xdr:rowOff>
    </xdr:to>
    <xdr:sp macro="" textlink="">
      <xdr:nvSpPr>
        <xdr:cNvPr id="8" name="Flecha derecha 7">
          <a:hlinkClick xmlns:r="http://schemas.openxmlformats.org/officeDocument/2006/relationships" r:id="rId4"/>
        </xdr:cNvPr>
        <xdr:cNvSpPr/>
      </xdr:nvSpPr>
      <xdr:spPr>
        <a:xfrm>
          <a:off x="4053840" y="3032760"/>
          <a:ext cx="2972281" cy="1139957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  <a:latin typeface="Candara" panose="020E0502030303020204" pitchFamily="34" charset="0"/>
            </a:rPr>
            <a:t>A</a:t>
          </a:r>
        </a:p>
        <a:p>
          <a:pPr algn="ctr"/>
          <a:r>
            <a:rPr lang="es-VE" sz="1400" b="1">
              <a:solidFill>
                <a:schemeClr val="tx1"/>
              </a:solidFill>
              <a:latin typeface="Candara" panose="020E0502030303020204" pitchFamily="34" charset="0"/>
            </a:rPr>
            <a:t>PARAMETRIZACIONES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228639</xdr:colOff>
      <xdr:row>2</xdr:row>
      <xdr:rowOff>40857</xdr:rowOff>
    </xdr:from>
    <xdr:ext cx="322396" cy="1860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1876464" y="431382"/>
              <a:ext cx="322396" cy="1860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𝐻𝐾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1876464" y="431382"/>
              <a:ext cx="322396" cy="1860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〖𝛼_𝑖〗_𝐻𝐾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52022</xdr:colOff>
      <xdr:row>2</xdr:row>
      <xdr:rowOff>55320</xdr:rowOff>
    </xdr:from>
    <xdr:ext cx="852853" cy="2875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/>
            <xdr:cNvSpPr txBox="1"/>
          </xdr:nvSpPr>
          <xdr:spPr>
            <a:xfrm>
              <a:off x="2471372" y="445845"/>
              <a:ext cx="852853" cy="2875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900" b="0" i="1">
                        <a:latin typeface="Cambria Math" panose="02040503050406030204" pitchFamily="18" charset="0"/>
                      </a:rPr>
                      <m:t>𝐹𝑙𝑢𝑗</m:t>
                    </m:r>
                    <m:sSub>
                      <m:sSubPr>
                        <m:ctrlPr>
                          <a:rPr lang="es-E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900" b="0" i="1">
                            <a:latin typeface="Cambria Math" panose="02040503050406030204" pitchFamily="18" charset="0"/>
                          </a:rPr>
                          <m:t>𝑜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𝑚𝑜𝑙𝑎</m:t>
                        </m:r>
                        <m:sSub>
                          <m:sSub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𝑓𝑒𝑒𝑑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9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2471372" y="445845"/>
              <a:ext cx="852853" cy="2875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ES" sz="900" b="0" i="0">
                  <a:latin typeface="Cambria Math" panose="02040503050406030204" pitchFamily="18" charset="0"/>
                </a:rPr>
                <a:t>𝐹𝑙𝑢𝑗𝑜_(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𝑚𝑜𝑙𝑎𝑟_𝑓𝑒𝑒𝑑 </a:t>
              </a:r>
              <a:r>
                <a:rPr lang="es-ES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900"/>
            </a:p>
          </xdr:txBody>
        </xdr:sp>
      </mc:Fallback>
    </mc:AlternateContent>
    <xdr:clientData/>
  </xdr:oneCellAnchor>
  <xdr:oneCellAnchor>
    <xdr:from>
      <xdr:col>6</xdr:col>
      <xdr:colOff>177526</xdr:colOff>
      <xdr:row>2</xdr:row>
      <xdr:rowOff>38178</xdr:rowOff>
    </xdr:from>
    <xdr:ext cx="200761" cy="186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/>
            <xdr:cNvSpPr txBox="1"/>
          </xdr:nvSpPr>
          <xdr:spPr>
            <a:xfrm>
              <a:off x="3549376" y="428703"/>
              <a:ext cx="200761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3549376" y="428703"/>
              <a:ext cx="200761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𝑥_(𝑓_𝑖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214813</xdr:colOff>
      <xdr:row>2</xdr:row>
      <xdr:rowOff>37136</xdr:rowOff>
    </xdr:from>
    <xdr:ext cx="652358" cy="258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/>
            <xdr:cNvSpPr txBox="1"/>
          </xdr:nvSpPr>
          <xdr:spPr>
            <a:xfrm>
              <a:off x="4167688" y="427661"/>
              <a:ext cx="652358" cy="25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900" b="0" i="1">
                        <a:latin typeface="Cambria Math" panose="02040503050406030204" pitchFamily="18" charset="0"/>
                      </a:rPr>
                      <m:t>𝐹𝑙𝑢𝑗</m:t>
                    </m:r>
                    <m:sSub>
                      <m:sSubPr>
                        <m:ctrlPr>
                          <a:rPr lang="es-E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900" b="0" i="1">
                            <a:latin typeface="Cambria Math" panose="02040503050406030204" pitchFamily="18" charset="0"/>
                          </a:rPr>
                          <m:t>𝑜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𝑚𝑜𝑙𝑎</m:t>
                        </m:r>
                        <m:sSub>
                          <m:sSub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90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4167688" y="427661"/>
              <a:ext cx="652358" cy="25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ES" sz="900" b="0" i="0">
                  <a:latin typeface="Cambria Math" panose="02040503050406030204" pitchFamily="18" charset="0"/>
                </a:rPr>
                <a:t>𝐹𝑙𝑢𝑗𝑜_(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𝑚𝑜𝑙𝑎𝑟_𝑑 </a:t>
              </a:r>
              <a:r>
                <a:rPr lang="es-ES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900"/>
            </a:p>
          </xdr:txBody>
        </xdr:sp>
      </mc:Fallback>
    </mc:AlternateContent>
    <xdr:clientData/>
  </xdr:oneCellAnchor>
  <xdr:oneCellAnchor>
    <xdr:from>
      <xdr:col>8</xdr:col>
      <xdr:colOff>150325</xdr:colOff>
      <xdr:row>2</xdr:row>
      <xdr:rowOff>14402</xdr:rowOff>
    </xdr:from>
    <xdr:ext cx="213264" cy="186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/>
            <xdr:cNvSpPr txBox="1"/>
          </xdr:nvSpPr>
          <xdr:spPr>
            <a:xfrm>
              <a:off x="4841595" y="392089"/>
              <a:ext cx="213264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4841595" y="392089"/>
              <a:ext cx="213264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𝑥_(𝑑_𝑖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181647</xdr:colOff>
      <xdr:row>2</xdr:row>
      <xdr:rowOff>4011</xdr:rowOff>
    </xdr:from>
    <xdr:ext cx="209095" cy="186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/>
            <xdr:cNvSpPr txBox="1"/>
          </xdr:nvSpPr>
          <xdr:spPr>
            <a:xfrm>
              <a:off x="6191508" y="381698"/>
              <a:ext cx="209095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6191508" y="381698"/>
              <a:ext cx="209095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𝑥_(𝑏_𝑖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52021</xdr:colOff>
      <xdr:row>2</xdr:row>
      <xdr:rowOff>24148</xdr:rowOff>
    </xdr:from>
    <xdr:ext cx="672492" cy="2520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/>
            <xdr:cNvSpPr txBox="1"/>
          </xdr:nvSpPr>
          <xdr:spPr>
            <a:xfrm>
              <a:off x="5738446" y="414673"/>
              <a:ext cx="672492" cy="2520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900" b="0" i="1">
                        <a:latin typeface="Cambria Math" panose="02040503050406030204" pitchFamily="18" charset="0"/>
                      </a:rPr>
                      <m:t>𝐹𝑙𝑢𝑗</m:t>
                    </m:r>
                    <m:sSub>
                      <m:sSubPr>
                        <m:ctrlPr>
                          <a:rPr lang="es-E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900" b="0" i="1">
                            <a:latin typeface="Cambria Math" panose="02040503050406030204" pitchFamily="18" charset="0"/>
                          </a:rPr>
                          <m:t>𝑜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𝑚𝑜𝑙𝑎</m:t>
                        </m:r>
                        <m:sSub>
                          <m:sSub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90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5738446" y="414673"/>
              <a:ext cx="672492" cy="2520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ES" sz="900" b="0" i="0">
                  <a:latin typeface="Cambria Math" panose="02040503050406030204" pitchFamily="18" charset="0"/>
                </a:rPr>
                <a:t>𝐹𝑙𝑢𝑗𝑜_(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𝑚𝑜𝑙𝑎𝑟_𝑏 </a:t>
              </a:r>
              <a:r>
                <a:rPr lang="es-ES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900"/>
            </a:p>
          </xdr:txBody>
        </xdr:sp>
      </mc:Fallback>
    </mc:AlternateContent>
    <xdr:clientData/>
  </xdr:oneCellAnchor>
  <xdr:twoCellAnchor>
    <xdr:from>
      <xdr:col>3</xdr:col>
      <xdr:colOff>135402</xdr:colOff>
      <xdr:row>16</xdr:row>
      <xdr:rowOff>103099</xdr:rowOff>
    </xdr:from>
    <xdr:to>
      <xdr:col>10</xdr:col>
      <xdr:colOff>777240</xdr:colOff>
      <xdr:row>30</xdr:row>
      <xdr:rowOff>53340</xdr:rowOff>
    </xdr:to>
    <xdr:grpSp>
      <xdr:nvGrpSpPr>
        <xdr:cNvPr id="9" name="Grupo 8"/>
        <xdr:cNvGrpSpPr/>
      </xdr:nvGrpSpPr>
      <xdr:grpSpPr>
        <a:xfrm>
          <a:off x="1907052" y="3322549"/>
          <a:ext cx="6775938" cy="2655341"/>
          <a:chOff x="1863848" y="1318052"/>
          <a:chExt cx="8514114" cy="4522997"/>
        </a:xfrm>
      </xdr:grpSpPr>
      <xdr:sp macro="" textlink="">
        <xdr:nvSpPr>
          <xdr:cNvPr id="10" name="Rectángulo 9"/>
          <xdr:cNvSpPr/>
        </xdr:nvSpPr>
        <xdr:spPr>
          <a:xfrm>
            <a:off x="4267200" y="1318052"/>
            <a:ext cx="3072714" cy="4374292"/>
          </a:xfrm>
          <a:prstGeom prst="rect">
            <a:avLst/>
          </a:prstGeom>
          <a:noFill/>
          <a:ln w="381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cxnSp macro="">
        <xdr:nvCxnSpPr>
          <xdr:cNvPr id="11" name="Conector angular 10"/>
          <xdr:cNvCxnSpPr/>
        </xdr:nvCxnSpPr>
        <xdr:spPr>
          <a:xfrm flipV="1">
            <a:off x="1863848" y="3344564"/>
            <a:ext cx="2403351" cy="374127"/>
          </a:xfrm>
          <a:prstGeom prst="bentConnector3">
            <a:avLst>
              <a:gd name="adj1" fmla="val 50000"/>
            </a:avLst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Conector recto de flecha 11"/>
          <xdr:cNvCxnSpPr/>
        </xdr:nvCxnSpPr>
        <xdr:spPr>
          <a:xfrm flipV="1">
            <a:off x="7339913" y="1365116"/>
            <a:ext cx="3006091" cy="109456"/>
          </a:xfrm>
          <a:prstGeom prst="straightConnector1">
            <a:avLst/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Conector recto de flecha 12"/>
          <xdr:cNvCxnSpPr/>
        </xdr:nvCxnSpPr>
        <xdr:spPr>
          <a:xfrm>
            <a:off x="7339913" y="5268099"/>
            <a:ext cx="3038049" cy="572950"/>
          </a:xfrm>
          <a:prstGeom prst="straightConnector1">
            <a:avLst/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740740</xdr:colOff>
      <xdr:row>4</xdr:row>
      <xdr:rowOff>30480</xdr:rowOff>
    </xdr:from>
    <xdr:to>
      <xdr:col>14</xdr:col>
      <xdr:colOff>220980</xdr:colOff>
      <xdr:row>10</xdr:row>
      <xdr:rowOff>161505</xdr:rowOff>
    </xdr:to>
    <xdr:sp macro="[0]!BorrarDatos" textlink="">
      <xdr:nvSpPr>
        <xdr:cNvPr id="19" name="Rectángulo 18"/>
        <xdr:cNvSpPr/>
      </xdr:nvSpPr>
      <xdr:spPr>
        <a:xfrm>
          <a:off x="8581720" y="891540"/>
          <a:ext cx="1301420" cy="124354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2000" b="1">
              <a:solidFill>
                <a:schemeClr val="tx1"/>
              </a:solidFill>
              <a:latin typeface="Candara" panose="020E0502030303020204" pitchFamily="34" charset="0"/>
            </a:rPr>
            <a:t>BORRAR</a:t>
          </a:r>
        </a:p>
        <a:p>
          <a:pPr algn="ctr"/>
          <a:r>
            <a:rPr lang="es-VE" sz="2000" b="1">
              <a:solidFill>
                <a:schemeClr val="tx1"/>
              </a:solidFill>
              <a:latin typeface="Candara" panose="020E0502030303020204" pitchFamily="34" charset="0"/>
            </a:rPr>
            <a:t>DATOS</a:t>
          </a:r>
        </a:p>
      </xdr:txBody>
    </xdr:sp>
    <xdr:clientData/>
  </xdr:twoCellAnchor>
  <xdr:twoCellAnchor>
    <xdr:from>
      <xdr:col>14</xdr:col>
      <xdr:colOff>399182</xdr:colOff>
      <xdr:row>4</xdr:row>
      <xdr:rowOff>22860</xdr:rowOff>
    </xdr:from>
    <xdr:to>
      <xdr:col>17</xdr:col>
      <xdr:colOff>576942</xdr:colOff>
      <xdr:row>7</xdr:row>
      <xdr:rowOff>134985</xdr:rowOff>
    </xdr:to>
    <xdr:sp macro="[0]!ModoAutomatico" textlink="">
      <xdr:nvSpPr>
        <xdr:cNvPr id="20" name="Rectángulo 19"/>
        <xdr:cNvSpPr/>
      </xdr:nvSpPr>
      <xdr:spPr>
        <a:xfrm>
          <a:off x="10061342" y="883920"/>
          <a:ext cx="2555200" cy="66076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200" b="1" baseline="0">
              <a:solidFill>
                <a:schemeClr val="tx1"/>
              </a:solidFill>
              <a:latin typeface="Candara" panose="020E0502030303020204" pitchFamily="34" charset="0"/>
            </a:rPr>
            <a:t>OBTENER VOLATILIDADES AUTOMÁTICAMENTE</a:t>
          </a:r>
        </a:p>
        <a:p>
          <a:pPr algn="ctr"/>
          <a:r>
            <a:rPr lang="es-VE" sz="1200" b="1" baseline="0">
              <a:solidFill>
                <a:schemeClr val="tx1"/>
              </a:solidFill>
              <a:latin typeface="Candara" panose="020E0502030303020204" pitchFamily="34" charset="0"/>
            </a:rPr>
            <a:t>(Requiere Valor de Temp.)</a:t>
          </a:r>
          <a:endParaRPr lang="es-VE" sz="1200" b="1">
            <a:solidFill>
              <a:schemeClr val="tx1"/>
            </a:solidFill>
            <a:latin typeface="Candara" panose="020E0502030303020204" pitchFamily="34" charset="0"/>
          </a:endParaRPr>
        </a:p>
      </xdr:txBody>
    </xdr:sp>
    <xdr:clientData/>
  </xdr:twoCellAnchor>
  <xdr:twoCellAnchor>
    <xdr:from>
      <xdr:col>11</xdr:col>
      <xdr:colOff>412374</xdr:colOff>
      <xdr:row>1</xdr:row>
      <xdr:rowOff>98612</xdr:rowOff>
    </xdr:from>
    <xdr:to>
      <xdr:col>21</xdr:col>
      <xdr:colOff>746759</xdr:colOff>
      <xdr:row>12</xdr:row>
      <xdr:rowOff>76200</xdr:rowOff>
    </xdr:to>
    <xdr:sp macro="" textlink="">
      <xdr:nvSpPr>
        <xdr:cNvPr id="21" name="Rectángulo redondeado 20"/>
        <xdr:cNvSpPr/>
      </xdr:nvSpPr>
      <xdr:spPr>
        <a:xfrm>
          <a:off x="8253354" y="281492"/>
          <a:ext cx="7702925" cy="2141668"/>
        </a:xfrm>
        <a:prstGeom prst="roundRect">
          <a:avLst/>
        </a:prstGeom>
        <a:noFill/>
        <a:ln w="57150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11</xdr:col>
      <xdr:colOff>883920</xdr:colOff>
      <xdr:row>2</xdr:row>
      <xdr:rowOff>15240</xdr:rowOff>
    </xdr:from>
    <xdr:to>
      <xdr:col>21</xdr:col>
      <xdr:colOff>240702</xdr:colOff>
      <xdr:row>3</xdr:row>
      <xdr:rowOff>87405</xdr:rowOff>
    </xdr:to>
    <xdr:sp macro="" textlink="">
      <xdr:nvSpPr>
        <xdr:cNvPr id="22" name="CuadroTexto 21"/>
        <xdr:cNvSpPr txBox="1"/>
      </xdr:nvSpPr>
      <xdr:spPr>
        <a:xfrm>
          <a:off x="8724900" y="388620"/>
          <a:ext cx="6725322" cy="3769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VE" sz="1800">
              <a:latin typeface="Candara" panose="020E0502030303020204" pitchFamily="34" charset="0"/>
            </a:rPr>
            <a:t>MENÚ</a:t>
          </a:r>
          <a:r>
            <a:rPr lang="es-VE" sz="1800" baseline="0">
              <a:latin typeface="Candara" panose="020E0502030303020204" pitchFamily="34" charset="0"/>
            </a:rPr>
            <a:t> DE OPERACIONES</a:t>
          </a:r>
          <a:endParaRPr lang="es-VE" sz="1800">
            <a:latin typeface="Candara" panose="020E0502030303020204" pitchFamily="34" charset="0"/>
          </a:endParaRPr>
        </a:p>
      </xdr:txBody>
    </xdr:sp>
    <xdr:clientData/>
  </xdr:twoCellAnchor>
  <xdr:twoCellAnchor>
    <xdr:from>
      <xdr:col>14</xdr:col>
      <xdr:colOff>426720</xdr:colOff>
      <xdr:row>8</xdr:row>
      <xdr:rowOff>68580</xdr:rowOff>
    </xdr:from>
    <xdr:to>
      <xdr:col>17</xdr:col>
      <xdr:colOff>571500</xdr:colOff>
      <xdr:row>10</xdr:row>
      <xdr:rowOff>167640</xdr:rowOff>
    </xdr:to>
    <xdr:sp macro="[0]!IngresarManual" textlink="">
      <xdr:nvSpPr>
        <xdr:cNvPr id="16" name="Rectángulo 15"/>
        <xdr:cNvSpPr/>
      </xdr:nvSpPr>
      <xdr:spPr>
        <a:xfrm>
          <a:off x="10088880" y="1661160"/>
          <a:ext cx="2522220" cy="4800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Candara" panose="020E0502030303020204" pitchFamily="34" charset="0"/>
            </a:rPr>
            <a:t>INGRESAR MANUALMENTE</a:t>
          </a:r>
          <a:r>
            <a:rPr lang="en-US" sz="1200" b="1" baseline="0">
              <a:solidFill>
                <a:sysClr val="windowText" lastClr="000000"/>
              </a:solidFill>
              <a:latin typeface="Candara" panose="020E0502030303020204" pitchFamily="34" charset="0"/>
            </a:rPr>
            <a:t> VOLATILIDADES</a:t>
          </a:r>
          <a:endParaRPr lang="en-US" sz="1200" b="1">
            <a:solidFill>
              <a:sysClr val="windowText" lastClr="000000"/>
            </a:solidFill>
            <a:latin typeface="Candara" panose="020E0502030303020204" pitchFamily="34" charset="0"/>
          </a:endParaRPr>
        </a:p>
      </xdr:txBody>
    </xdr:sp>
    <xdr:clientData/>
  </xdr:twoCellAnchor>
  <xdr:twoCellAnchor>
    <xdr:from>
      <xdr:col>19</xdr:col>
      <xdr:colOff>198120</xdr:colOff>
      <xdr:row>2</xdr:row>
      <xdr:rowOff>297180</xdr:rowOff>
    </xdr:from>
    <xdr:to>
      <xdr:col>20</xdr:col>
      <xdr:colOff>678180</xdr:colOff>
      <xdr:row>6</xdr:row>
      <xdr:rowOff>15240</xdr:rowOff>
    </xdr:to>
    <xdr:sp macro="" textlink="">
      <xdr:nvSpPr>
        <xdr:cNvPr id="28" name="Flecha derecha 27"/>
        <xdr:cNvSpPr/>
      </xdr:nvSpPr>
      <xdr:spPr>
        <a:xfrm>
          <a:off x="13929360" y="670560"/>
          <a:ext cx="1272540" cy="5715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andara" panose="020E0502030303020204" pitchFamily="34" charset="0"/>
            </a:rPr>
            <a:t>PÁG.</a:t>
          </a:r>
          <a:r>
            <a:rPr lang="en-US" sz="1100" b="1" baseline="0">
              <a:solidFill>
                <a:sysClr val="windowText" lastClr="000000"/>
              </a:solidFill>
              <a:latin typeface="Candara" panose="020E0502030303020204" pitchFamily="34" charset="0"/>
            </a:rPr>
            <a:t> FINAL</a:t>
          </a:r>
          <a:endParaRPr lang="en-US" sz="1100" b="1">
            <a:solidFill>
              <a:sysClr val="windowText" lastClr="000000"/>
            </a:solidFill>
            <a:latin typeface="Candara" panose="020E0502030303020204" pitchFamily="34" charset="0"/>
          </a:endParaRPr>
        </a:p>
      </xdr:txBody>
    </xdr:sp>
    <xdr:clientData/>
  </xdr:twoCellAnchor>
  <xdr:twoCellAnchor>
    <xdr:from>
      <xdr:col>18</xdr:col>
      <xdr:colOff>15240</xdr:colOff>
      <xdr:row>8</xdr:row>
      <xdr:rowOff>76200</xdr:rowOff>
    </xdr:from>
    <xdr:to>
      <xdr:col>19</xdr:col>
      <xdr:colOff>502920</xdr:colOff>
      <xdr:row>11</xdr:row>
      <xdr:rowOff>129540</xdr:rowOff>
    </xdr:to>
    <xdr:sp macro="" textlink="">
      <xdr:nvSpPr>
        <xdr:cNvPr id="35" name="Flecha derecha 34">
          <a:hlinkClick xmlns:r="http://schemas.openxmlformats.org/officeDocument/2006/relationships" r:id="rId1"/>
        </xdr:cNvPr>
        <xdr:cNvSpPr/>
      </xdr:nvSpPr>
      <xdr:spPr>
        <a:xfrm flipH="1">
          <a:off x="12954000" y="1668780"/>
          <a:ext cx="1280160" cy="61722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andara" panose="020E0502030303020204" pitchFamily="34" charset="0"/>
            </a:rPr>
            <a:t>A PORTADA</a:t>
          </a:r>
        </a:p>
      </xdr:txBody>
    </xdr:sp>
    <xdr:clientData/>
  </xdr:twoCellAnchor>
  <xdr:twoCellAnchor>
    <xdr:from>
      <xdr:col>18</xdr:col>
      <xdr:colOff>563880</xdr:colOff>
      <xdr:row>6</xdr:row>
      <xdr:rowOff>0</xdr:rowOff>
    </xdr:from>
    <xdr:to>
      <xdr:col>20</xdr:col>
      <xdr:colOff>129540</xdr:colOff>
      <xdr:row>8</xdr:row>
      <xdr:rowOff>129540</xdr:rowOff>
    </xdr:to>
    <xdr:sp macro="" textlink="">
      <xdr:nvSpPr>
        <xdr:cNvPr id="36" name="Rectángulo redondeado 35">
          <a:hlinkClick xmlns:r="http://schemas.openxmlformats.org/officeDocument/2006/relationships" r:id="rId2"/>
        </xdr:cNvPr>
        <xdr:cNvSpPr/>
      </xdr:nvSpPr>
      <xdr:spPr>
        <a:xfrm>
          <a:off x="13502640" y="1226820"/>
          <a:ext cx="1150620" cy="4953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andara" panose="020E0502030303020204" pitchFamily="34" charset="0"/>
            </a:rPr>
            <a:t>A OPERACIONES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247689</xdr:colOff>
      <xdr:row>1</xdr:row>
      <xdr:rowOff>183732</xdr:rowOff>
    </xdr:from>
    <xdr:ext cx="322396" cy="1860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1878369" y="366612"/>
              <a:ext cx="322396" cy="1860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𝐻𝐾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1878369" y="366612"/>
              <a:ext cx="322396" cy="1860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〖𝛼_𝑖〗_𝐻𝐾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52022</xdr:colOff>
      <xdr:row>2</xdr:row>
      <xdr:rowOff>17221</xdr:rowOff>
    </xdr:from>
    <xdr:ext cx="776495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/>
            <xdr:cNvSpPr txBox="1"/>
          </xdr:nvSpPr>
          <xdr:spPr>
            <a:xfrm>
              <a:off x="2475182" y="390601"/>
              <a:ext cx="776495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900" b="0" i="1">
                        <a:latin typeface="Cambria Math" panose="02040503050406030204" pitchFamily="18" charset="0"/>
                      </a:rPr>
                      <m:t>𝐹𝑙𝑢𝑗</m:t>
                    </m:r>
                    <m:sSub>
                      <m:sSubPr>
                        <m:ctrlPr>
                          <a:rPr lang="es-E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900" b="0" i="1">
                            <a:latin typeface="Cambria Math" panose="02040503050406030204" pitchFamily="18" charset="0"/>
                          </a:rPr>
                          <m:t>𝑜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𝑚𝑜𝑙𝑎</m:t>
                        </m:r>
                        <m:sSub>
                          <m:sSub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𝑓𝑒𝑒𝑑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9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2475182" y="390601"/>
              <a:ext cx="776495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900" b="0" i="0">
                  <a:latin typeface="Cambria Math" panose="02040503050406030204" pitchFamily="18" charset="0"/>
                </a:rPr>
                <a:t>𝐹𝑙𝑢𝑗𝑜_(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𝑚𝑜𝑙𝑎𝑟_𝑓𝑒𝑒𝑑 </a:t>
              </a:r>
              <a:r>
                <a:rPr lang="es-ES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900"/>
            </a:p>
          </xdr:txBody>
        </xdr:sp>
      </mc:Fallback>
    </mc:AlternateContent>
    <xdr:clientData/>
  </xdr:oneCellAnchor>
  <xdr:oneCellAnchor>
    <xdr:from>
      <xdr:col>5</xdr:col>
      <xdr:colOff>215626</xdr:colOff>
      <xdr:row>2</xdr:row>
      <xdr:rowOff>78</xdr:rowOff>
    </xdr:from>
    <xdr:ext cx="200761" cy="186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/>
            <xdr:cNvSpPr txBox="1"/>
          </xdr:nvSpPr>
          <xdr:spPr>
            <a:xfrm>
              <a:off x="3621766" y="373458"/>
              <a:ext cx="200761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3621766" y="373458"/>
              <a:ext cx="200761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𝑥_(𝑓_𝑖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62413</xdr:colOff>
      <xdr:row>2</xdr:row>
      <xdr:rowOff>27611</xdr:rowOff>
    </xdr:from>
    <xdr:ext cx="652358" cy="1682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/>
            <xdr:cNvSpPr txBox="1"/>
          </xdr:nvSpPr>
          <xdr:spPr>
            <a:xfrm>
              <a:off x="4062913" y="400991"/>
              <a:ext cx="652358" cy="1682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900" b="0" i="1">
                        <a:latin typeface="Cambria Math" panose="02040503050406030204" pitchFamily="18" charset="0"/>
                      </a:rPr>
                      <m:t>𝐹𝑙𝑢𝑗</m:t>
                    </m:r>
                    <m:sSub>
                      <m:sSubPr>
                        <m:ctrlPr>
                          <a:rPr lang="es-E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900" b="0" i="1">
                            <a:latin typeface="Cambria Math" panose="02040503050406030204" pitchFamily="18" charset="0"/>
                          </a:rPr>
                          <m:t>𝑜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𝑚𝑜𝑙𝑎</m:t>
                        </m:r>
                        <m:sSub>
                          <m:sSub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90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4062913" y="400991"/>
              <a:ext cx="652358" cy="1682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900" b="0" i="0">
                  <a:latin typeface="Cambria Math" panose="02040503050406030204" pitchFamily="18" charset="0"/>
                </a:rPr>
                <a:t>𝐹𝑙𝑢𝑗𝑜_(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𝑚𝑜𝑙𝑎𝑟_𝑑 </a:t>
              </a:r>
              <a:r>
                <a:rPr lang="es-ES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900"/>
            </a:p>
          </xdr:txBody>
        </xdr:sp>
      </mc:Fallback>
    </mc:AlternateContent>
    <xdr:clientData/>
  </xdr:oneCellAnchor>
  <xdr:oneCellAnchor>
    <xdr:from>
      <xdr:col>7</xdr:col>
      <xdr:colOff>150325</xdr:colOff>
      <xdr:row>2</xdr:row>
      <xdr:rowOff>14402</xdr:rowOff>
    </xdr:from>
    <xdr:ext cx="213264" cy="186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/>
            <xdr:cNvSpPr txBox="1"/>
          </xdr:nvSpPr>
          <xdr:spPr>
            <a:xfrm>
              <a:off x="5309065" y="387782"/>
              <a:ext cx="213264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5309065" y="387782"/>
              <a:ext cx="213264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𝑥_(𝑑_𝑖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181647</xdr:colOff>
      <xdr:row>2</xdr:row>
      <xdr:rowOff>4011</xdr:rowOff>
    </xdr:from>
    <xdr:ext cx="209095" cy="186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/>
            <xdr:cNvSpPr txBox="1"/>
          </xdr:nvSpPr>
          <xdr:spPr>
            <a:xfrm>
              <a:off x="6872007" y="377391"/>
              <a:ext cx="209095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6872007" y="377391"/>
              <a:ext cx="209095" cy="186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𝑥_(𝑏_𝑖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52021</xdr:colOff>
      <xdr:row>2</xdr:row>
      <xdr:rowOff>24148</xdr:rowOff>
    </xdr:from>
    <xdr:ext cx="672492" cy="1736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/>
            <xdr:cNvSpPr txBox="1"/>
          </xdr:nvSpPr>
          <xdr:spPr>
            <a:xfrm>
              <a:off x="5835601" y="397528"/>
              <a:ext cx="672492" cy="1736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900" b="0" i="1">
                        <a:latin typeface="Cambria Math" panose="02040503050406030204" pitchFamily="18" charset="0"/>
                      </a:rPr>
                      <m:t>𝐹𝑙𝑢𝑗</m:t>
                    </m:r>
                    <m:sSub>
                      <m:sSubPr>
                        <m:ctrlPr>
                          <a:rPr lang="es-E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900" b="0" i="1">
                            <a:latin typeface="Cambria Math" panose="02040503050406030204" pitchFamily="18" charset="0"/>
                          </a:rPr>
                          <m:t>𝑜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𝑚𝑜𝑙𝑎</m:t>
                        </m:r>
                        <m:sSub>
                          <m:sSub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US" sz="90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5835601" y="397528"/>
              <a:ext cx="672492" cy="1736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900" b="0" i="0">
                  <a:latin typeface="Cambria Math" panose="02040503050406030204" pitchFamily="18" charset="0"/>
                </a:rPr>
                <a:t>𝐹𝑙𝑢𝑗𝑜_(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𝑚𝑜𝑙𝑎𝑟_𝑏 </a:t>
              </a:r>
              <a:r>
                <a:rPr lang="es-ES" sz="9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900"/>
            </a:p>
          </xdr:txBody>
        </xdr:sp>
      </mc:Fallback>
    </mc:AlternateContent>
    <xdr:clientData/>
  </xdr:oneCellAnchor>
  <xdr:twoCellAnchor>
    <xdr:from>
      <xdr:col>5</xdr:col>
      <xdr:colOff>82062</xdr:colOff>
      <xdr:row>16</xdr:row>
      <xdr:rowOff>42139</xdr:rowOff>
    </xdr:from>
    <xdr:to>
      <xdr:col>12</xdr:col>
      <xdr:colOff>29308</xdr:colOff>
      <xdr:row>29</xdr:row>
      <xdr:rowOff>91717</xdr:rowOff>
    </xdr:to>
    <xdr:grpSp>
      <xdr:nvGrpSpPr>
        <xdr:cNvPr id="9" name="Grupo 8"/>
        <xdr:cNvGrpSpPr/>
      </xdr:nvGrpSpPr>
      <xdr:grpSpPr>
        <a:xfrm>
          <a:off x="3387237" y="3252064"/>
          <a:ext cx="4700221" cy="2564178"/>
          <a:chOff x="1863848" y="1318052"/>
          <a:chExt cx="8192889" cy="4374292"/>
        </a:xfrm>
      </xdr:grpSpPr>
      <xdr:sp macro="" textlink="">
        <xdr:nvSpPr>
          <xdr:cNvPr id="10" name="Rectángulo 9"/>
          <xdr:cNvSpPr/>
        </xdr:nvSpPr>
        <xdr:spPr>
          <a:xfrm>
            <a:off x="4267200" y="1318052"/>
            <a:ext cx="3072714" cy="4374292"/>
          </a:xfrm>
          <a:prstGeom prst="rect">
            <a:avLst/>
          </a:prstGeom>
          <a:noFill/>
          <a:ln w="381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cxnSp macro="">
        <xdr:nvCxnSpPr>
          <xdr:cNvPr id="11" name="Conector angular 10"/>
          <xdr:cNvCxnSpPr/>
        </xdr:nvCxnSpPr>
        <xdr:spPr>
          <a:xfrm flipV="1">
            <a:off x="1863848" y="3344564"/>
            <a:ext cx="2403351" cy="374127"/>
          </a:xfrm>
          <a:prstGeom prst="bentConnector3">
            <a:avLst>
              <a:gd name="adj1" fmla="val 50000"/>
            </a:avLst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Conector recto de flecha 11"/>
          <xdr:cNvCxnSpPr/>
        </xdr:nvCxnSpPr>
        <xdr:spPr>
          <a:xfrm flipV="1">
            <a:off x="7339913" y="1471048"/>
            <a:ext cx="2716824" cy="3525"/>
          </a:xfrm>
          <a:prstGeom prst="straightConnector1">
            <a:avLst/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Conector recto de flecha 12"/>
          <xdr:cNvCxnSpPr/>
        </xdr:nvCxnSpPr>
        <xdr:spPr>
          <a:xfrm>
            <a:off x="7339913" y="5268098"/>
            <a:ext cx="2608706" cy="4362"/>
          </a:xfrm>
          <a:prstGeom prst="straightConnector1">
            <a:avLst/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17</xdr:row>
      <xdr:rowOff>1</xdr:rowOff>
    </xdr:from>
    <xdr:to>
      <xdr:col>15</xdr:col>
      <xdr:colOff>485775</xdr:colOff>
      <xdr:row>20</xdr:row>
      <xdr:rowOff>19051</xdr:rowOff>
    </xdr:to>
    <xdr:sp macro="" textlink="">
      <xdr:nvSpPr>
        <xdr:cNvPr id="2" name="CuadroTexto 1"/>
        <xdr:cNvSpPr txBox="1"/>
      </xdr:nvSpPr>
      <xdr:spPr>
        <a:xfrm>
          <a:off x="247650" y="190501"/>
          <a:ext cx="8620125" cy="590550"/>
        </a:xfrm>
        <a:prstGeom prst="rect">
          <a:avLst/>
        </a:prstGeom>
        <a:noFill/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VE" sz="2000">
              <a:latin typeface="Candara" panose="020E0502030303020204" pitchFamily="34" charset="0"/>
            </a:rPr>
            <a:t>Paso 2: Determinar la</a:t>
          </a:r>
          <a:r>
            <a:rPr lang="es-VE" sz="2000" baseline="0">
              <a:latin typeface="Candara" panose="020E0502030303020204" pitchFamily="34" charset="0"/>
            </a:rPr>
            <a:t> tasa mínima de Reflujo, con la Ecuación de Underwood</a:t>
          </a:r>
          <a:endParaRPr lang="es-VE" sz="2000">
            <a:latin typeface="Candara" panose="020E0502030303020204" pitchFamily="34" charset="0"/>
          </a:endParaRPr>
        </a:p>
      </xdr:txBody>
    </xdr:sp>
    <xdr:clientData/>
  </xdr:twoCellAnchor>
  <xdr:twoCellAnchor>
    <xdr:from>
      <xdr:col>11</xdr:col>
      <xdr:colOff>381000</xdr:colOff>
      <xdr:row>22</xdr:row>
      <xdr:rowOff>210811</xdr:rowOff>
    </xdr:from>
    <xdr:to>
      <xdr:col>18</xdr:col>
      <xdr:colOff>741268</xdr:colOff>
      <xdr:row>26</xdr:row>
      <xdr:rowOff>22343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3"/>
            <xdr:cNvSpPr txBox="1"/>
          </xdr:nvSpPr>
          <xdr:spPr>
            <a:xfrm>
              <a:off x="11464636" y="4488402"/>
              <a:ext cx="6542859" cy="6428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s-V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VE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𝑓𝐴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𝑓𝐵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</m:sSub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sub>
                        </m:sSub>
                        <m:r>
                          <a:rPr lang="es-VE" sz="160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</m:sSub>
                        <m:r>
                          <a:rPr lang="es-VE" sz="160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𝑓𝐸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sub>
                        </m:sSub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𝑓𝐹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sub>
                        </m:sSub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</m:d>
                    <m:r>
                      <a:rPr lang="es-VE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s-VE" sz="900"/>
            </a:p>
            <a:p>
              <a:endParaRPr lang="es-VE" sz="1100"/>
            </a:p>
          </xdr:txBody>
        </xdr:sp>
      </mc:Choice>
      <mc:Fallback xmlns="">
        <xdr:sp macro="" textlink="">
          <xdr:nvSpPr>
            <xdr:cNvPr id="5" name="CuadroTexto 3"/>
            <xdr:cNvSpPr txBox="1"/>
          </xdr:nvSpPr>
          <xdr:spPr>
            <a:xfrm>
              <a:off x="11464636" y="4488402"/>
              <a:ext cx="6542859" cy="6428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s-V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VE" sz="1600" i="0">
                  <a:latin typeface="Cambria Math" panose="02040503050406030204" pitchFamily="18" charset="0"/>
                </a:rPr>
                <a:t>(</a:t>
              </a:r>
              <a:r>
                <a:rPr lang="es-VE" sz="1600" b="0" i="0">
                  <a:latin typeface="Cambria Math" panose="02040503050406030204" pitchFamily="18" charset="0"/>
                </a:rPr>
                <a:t>𝛼_𝐴 𝑥_𝑓𝐴)/(𝛼_𝐴−𝜃)+(𝛼_𝐵 𝑥_𝑓𝐵)/(𝛼_𝐵−𝜃)+(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𝐶 </a:t>
              </a:r>
              <a:r>
                <a:rPr lang="es-VE" sz="1600" i="0">
                  <a:latin typeface="Cambria Math" panose="02040503050406030204" pitchFamily="18" charset="0"/>
                </a:rPr>
                <a:t>𝑥_𝑓</a:t>
              </a:r>
              <a:r>
                <a:rPr lang="es-VE" sz="1600" b="0" i="0">
                  <a:latin typeface="Cambria Math" panose="02040503050406030204" pitchFamily="18" charset="0"/>
                </a:rPr>
                <a:t>𝐶)/(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𝐶</a:t>
              </a:r>
              <a:r>
                <a:rPr lang="es-VE" sz="1600" i="0">
                  <a:latin typeface="Cambria Math" panose="02040503050406030204" pitchFamily="18" charset="0"/>
                </a:rPr>
                <a:t>−𝜃</a:t>
              </a:r>
              <a:r>
                <a:rPr lang="es-VE" sz="1600" b="0" i="0">
                  <a:latin typeface="Cambria Math" panose="02040503050406030204" pitchFamily="18" charset="0"/>
                </a:rPr>
                <a:t>)+(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𝐷 </a:t>
              </a:r>
              <a:r>
                <a:rPr lang="es-VE" sz="1600" i="0">
                  <a:latin typeface="Cambria Math" panose="02040503050406030204" pitchFamily="18" charset="0"/>
                </a:rPr>
                <a:t>𝑥_𝑓</a:t>
              </a:r>
              <a:r>
                <a:rPr lang="es-VE" sz="1600" b="0" i="0">
                  <a:latin typeface="Cambria Math" panose="02040503050406030204" pitchFamily="18" charset="0"/>
                </a:rPr>
                <a:t>𝐷)/(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𝐷</a:t>
              </a:r>
              <a:r>
                <a:rPr lang="es-VE" sz="1600" i="0">
                  <a:latin typeface="Cambria Math" panose="02040503050406030204" pitchFamily="18" charset="0"/>
                </a:rPr>
                <a:t>−𝜃</a:t>
              </a:r>
              <a:r>
                <a:rPr lang="es-VE" sz="1600" b="0" i="0">
                  <a:latin typeface="Cambria Math" panose="02040503050406030204" pitchFamily="18" charset="0"/>
                </a:rPr>
                <a:t>)+(𝛼_𝐸 𝑥_𝑓𝐸)/(𝛼_𝐸−𝜃)+(𝛼_𝐹 𝑥_𝑓𝐹)/(𝛼_𝐹−𝜃)−(1−𝑞)=0</a:t>
              </a:r>
              <a:endParaRPr lang="es-VE" sz="900"/>
            </a:p>
            <a:p>
              <a:endParaRPr lang="es-VE" sz="1100"/>
            </a:p>
          </xdr:txBody>
        </xdr:sp>
      </mc:Fallback>
    </mc:AlternateContent>
    <xdr:clientData/>
  </xdr:twoCellAnchor>
  <xdr:oneCellAnchor>
    <xdr:from>
      <xdr:col>2</xdr:col>
      <xdr:colOff>87085</xdr:colOff>
      <xdr:row>22</xdr:row>
      <xdr:rowOff>87085</xdr:rowOff>
    </xdr:from>
    <xdr:ext cx="65" cy="172227"/>
    <xdr:sp macro="" textlink="">
      <xdr:nvSpPr>
        <xdr:cNvPr id="6" name="CuadroTexto 5"/>
        <xdr:cNvSpPr txBox="1"/>
      </xdr:nvSpPr>
      <xdr:spPr>
        <a:xfrm>
          <a:off x="1175656" y="1240971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VE" sz="1100"/>
        </a:p>
      </xdr:txBody>
    </xdr:sp>
    <xdr:clientData/>
  </xdr:oneCellAnchor>
  <xdr:oneCellAnchor>
    <xdr:from>
      <xdr:col>6</xdr:col>
      <xdr:colOff>10885</xdr:colOff>
      <xdr:row>24</xdr:row>
      <xdr:rowOff>5443</xdr:rowOff>
    </xdr:from>
    <xdr:ext cx="3290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/>
            <xdr:cNvSpPr txBox="1"/>
          </xdr:nvSpPr>
          <xdr:spPr>
            <a:xfrm>
              <a:off x="5176156" y="2351314"/>
              <a:ext cx="3290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7" name="CuadroTexto 6"/>
            <xdr:cNvSpPr txBox="1"/>
          </xdr:nvSpPr>
          <xdr:spPr>
            <a:xfrm>
              <a:off x="5176156" y="2351314"/>
              <a:ext cx="3290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𝛼_𝐴=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10885</xdr:colOff>
      <xdr:row>25</xdr:row>
      <xdr:rowOff>5443</xdr:rowOff>
    </xdr:from>
    <xdr:ext cx="3394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/>
            <xdr:cNvSpPr txBox="1"/>
          </xdr:nvSpPr>
          <xdr:spPr>
            <a:xfrm>
              <a:off x="5176156" y="2541814"/>
              <a:ext cx="3394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5176156" y="2541814"/>
              <a:ext cx="3394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𝛼_𝐵=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10885</xdr:colOff>
      <xdr:row>25</xdr:row>
      <xdr:rowOff>185057</xdr:rowOff>
    </xdr:from>
    <xdr:ext cx="3338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/>
            <xdr:cNvSpPr txBox="1"/>
          </xdr:nvSpPr>
          <xdr:spPr>
            <a:xfrm>
              <a:off x="5176156" y="2721428"/>
              <a:ext cx="3338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5176156" y="2721428"/>
              <a:ext cx="3338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𝛼_𝐶=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21771</xdr:colOff>
      <xdr:row>26</xdr:row>
      <xdr:rowOff>185057</xdr:rowOff>
    </xdr:from>
    <xdr:ext cx="34310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/>
            <xdr:cNvSpPr txBox="1"/>
          </xdr:nvSpPr>
          <xdr:spPr>
            <a:xfrm>
              <a:off x="5187042" y="2911928"/>
              <a:ext cx="34310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5187042" y="2911928"/>
              <a:ext cx="34310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𝛼_𝐷=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5443</xdr:colOff>
      <xdr:row>27</xdr:row>
      <xdr:rowOff>185057</xdr:rowOff>
    </xdr:from>
    <xdr:ext cx="33669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/>
            <xdr:cNvSpPr txBox="1"/>
          </xdr:nvSpPr>
          <xdr:spPr>
            <a:xfrm>
              <a:off x="5170714" y="3102428"/>
              <a:ext cx="33669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11" name="CuadroTexto 10"/>
            <xdr:cNvSpPr txBox="1"/>
          </xdr:nvSpPr>
          <xdr:spPr>
            <a:xfrm>
              <a:off x="5170714" y="3102428"/>
              <a:ext cx="33669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𝛼_𝐸=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5443</xdr:colOff>
      <xdr:row>28</xdr:row>
      <xdr:rowOff>174172</xdr:rowOff>
    </xdr:from>
    <xdr:ext cx="33483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/>
            <xdr:cNvSpPr txBox="1"/>
          </xdr:nvSpPr>
          <xdr:spPr>
            <a:xfrm>
              <a:off x="5170714" y="3282043"/>
              <a:ext cx="3348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12" name="CuadroTexto 11"/>
            <xdr:cNvSpPr txBox="1"/>
          </xdr:nvSpPr>
          <xdr:spPr>
            <a:xfrm>
              <a:off x="5170714" y="3282043"/>
              <a:ext cx="3348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𝛼_𝐹=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5443</xdr:colOff>
      <xdr:row>29</xdr:row>
      <xdr:rowOff>174172</xdr:rowOff>
    </xdr:from>
    <xdr:ext cx="378502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/>
            <xdr:cNvSpPr txBox="1"/>
          </xdr:nvSpPr>
          <xdr:spPr>
            <a:xfrm>
              <a:off x="5170714" y="3282043"/>
              <a:ext cx="378502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𝑓𝐴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13" name="CuadroTexto 12"/>
            <xdr:cNvSpPr txBox="1"/>
          </xdr:nvSpPr>
          <xdr:spPr>
            <a:xfrm>
              <a:off x="5170714" y="3282043"/>
              <a:ext cx="378502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𝑥_𝑓𝐴=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5443</xdr:colOff>
      <xdr:row>30</xdr:row>
      <xdr:rowOff>179615</xdr:rowOff>
    </xdr:from>
    <xdr:ext cx="38189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/>
            <xdr:cNvSpPr txBox="1"/>
          </xdr:nvSpPr>
          <xdr:spPr>
            <a:xfrm>
              <a:off x="5170714" y="3477986"/>
              <a:ext cx="381899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𝑓𝐵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5170714" y="3477986"/>
              <a:ext cx="381899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𝑥_𝑓𝐵=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16329</xdr:colOff>
      <xdr:row>31</xdr:row>
      <xdr:rowOff>174172</xdr:rowOff>
    </xdr:from>
    <xdr:ext cx="37625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/>
            <xdr:cNvSpPr txBox="1"/>
          </xdr:nvSpPr>
          <xdr:spPr>
            <a:xfrm>
              <a:off x="5181600" y="3663043"/>
              <a:ext cx="37625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𝑓𝐶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5181600" y="3663043"/>
              <a:ext cx="37625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𝑥_𝑓𝐶=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21771</xdr:colOff>
      <xdr:row>32</xdr:row>
      <xdr:rowOff>179615</xdr:rowOff>
    </xdr:from>
    <xdr:ext cx="385555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/>
            <xdr:cNvSpPr txBox="1"/>
          </xdr:nvSpPr>
          <xdr:spPr>
            <a:xfrm>
              <a:off x="5187042" y="3858986"/>
              <a:ext cx="385555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𝑓𝐷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5187042" y="3858986"/>
              <a:ext cx="385555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𝑥_𝑓𝐷=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16328</xdr:colOff>
      <xdr:row>33</xdr:row>
      <xdr:rowOff>174172</xdr:rowOff>
    </xdr:from>
    <xdr:ext cx="379143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/>
            <xdr:cNvSpPr txBox="1"/>
          </xdr:nvSpPr>
          <xdr:spPr>
            <a:xfrm>
              <a:off x="5258888" y="6285412"/>
              <a:ext cx="379143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𝑓𝐸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17" name="CuadroTexto 16"/>
            <xdr:cNvSpPr txBox="1"/>
          </xdr:nvSpPr>
          <xdr:spPr>
            <a:xfrm>
              <a:off x="5258888" y="6285412"/>
              <a:ext cx="379143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𝑥_𝑓𝐸=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6</xdr:col>
      <xdr:colOff>21771</xdr:colOff>
      <xdr:row>34</xdr:row>
      <xdr:rowOff>190500</xdr:rowOff>
    </xdr:from>
    <xdr:ext cx="377283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/>
            <xdr:cNvSpPr txBox="1"/>
          </xdr:nvSpPr>
          <xdr:spPr>
            <a:xfrm>
              <a:off x="5187042" y="4250871"/>
              <a:ext cx="377283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𝑓𝐹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5187042" y="4250871"/>
              <a:ext cx="377283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𝑥_𝑓𝐹=</a:t>
              </a:r>
              <a:endParaRPr lang="es-VE" sz="1100" b="0"/>
            </a:p>
          </xdr:txBody>
        </xdr:sp>
      </mc:Fallback>
    </mc:AlternateContent>
    <xdr:clientData/>
  </xdr:oneCellAnchor>
  <xdr:twoCellAnchor>
    <xdr:from>
      <xdr:col>8</xdr:col>
      <xdr:colOff>66675</xdr:colOff>
      <xdr:row>27</xdr:row>
      <xdr:rowOff>70485</xdr:rowOff>
    </xdr:from>
    <xdr:to>
      <xdr:col>22</xdr:col>
      <xdr:colOff>673690</xdr:colOff>
      <xdr:row>30</xdr:row>
      <xdr:rowOff>138840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3"/>
            <xdr:cNvSpPr txBox="1"/>
          </xdr:nvSpPr>
          <xdr:spPr>
            <a:xfrm>
              <a:off x="7084695" y="5084445"/>
              <a:ext cx="11595055" cy="616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s-V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VE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𝑓𝐴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  <m:t>𝐴</m:t>
                                    </m:r>
                                  </m:sub>
                                </m:sSub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</m:d>
                          </m:e>
                          <m:sup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𝑓𝐵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VE" sz="160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s-VE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sub>
                                </m:sSub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</m:d>
                          </m:e>
                          <m:sup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VE" sz="160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s-VE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sub>
                                </m:sSub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</m:d>
                          </m:e>
                          <m:sup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VE" sz="160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s-VE" sz="1600" b="0" i="1">
                                        <a:latin typeface="Cambria Math" panose="02040503050406030204" pitchFamily="18" charset="0"/>
                                      </a:rPr>
                                      <m:t>𝐷</m:t>
                                    </m:r>
                                  </m:sub>
                                </m:sSub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</m:d>
                          </m:e>
                          <m:sup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𝑓𝐸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VE" sz="160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s-VE" sz="1600" b="0" i="1">
                                        <a:latin typeface="Cambria Math" panose="02040503050406030204" pitchFamily="18" charset="0"/>
                                      </a:rPr>
                                      <m:t>𝐸</m:t>
                                    </m:r>
                                  </m:sub>
                                </m:sSub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</m:d>
                          </m:e>
                          <m:sup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𝑓𝐹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VE" sz="160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VE" sz="1600" i="1"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s-VE" sz="1600" b="0" i="1"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sub>
                                </m:sSub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VE" sz="1600" i="1"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</m:d>
                          </m:e>
                          <m:sup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s-VE" sz="900"/>
            </a:p>
            <a:p>
              <a:endParaRPr lang="es-VE" sz="1100"/>
            </a:p>
          </xdr:txBody>
        </xdr:sp>
      </mc:Choice>
      <mc:Fallback xmlns="">
        <xdr:sp macro="" textlink="">
          <xdr:nvSpPr>
            <xdr:cNvPr id="20" name="CuadroTexto 3"/>
            <xdr:cNvSpPr txBox="1"/>
          </xdr:nvSpPr>
          <xdr:spPr>
            <a:xfrm>
              <a:off x="7084695" y="5084445"/>
              <a:ext cx="11595055" cy="616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s-V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VE" sz="1600" i="0">
                  <a:latin typeface="Cambria Math" panose="02040503050406030204" pitchFamily="18" charset="0"/>
                </a:rPr>
                <a:t>(</a:t>
              </a:r>
              <a:r>
                <a:rPr lang="es-VE" sz="1600" b="0" i="0">
                  <a:latin typeface="Cambria Math" panose="02040503050406030204" pitchFamily="18" charset="0"/>
                </a:rPr>
                <a:t>𝛼_𝐴 𝑥_𝑓𝐴)/(</a:t>
              </a:r>
              <a:r>
                <a:rPr lang="es-VE" sz="1600" i="0">
                  <a:latin typeface="Cambria Math" panose="02040503050406030204" pitchFamily="18" charset="0"/>
                </a:rPr>
                <a:t>𝛼_𝐴−𝜃)</a:t>
              </a:r>
              <a:r>
                <a:rPr lang="es-VE" sz="1600" b="0" i="0">
                  <a:latin typeface="Cambria Math" panose="02040503050406030204" pitchFamily="18" charset="0"/>
                </a:rPr>
                <a:t>^2 +(𝛼_𝐵 𝑥_𝑓𝐵)/(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𝐵</a:t>
              </a:r>
              <a:r>
                <a:rPr lang="es-VE" sz="1600" i="0">
                  <a:latin typeface="Cambria Math" panose="02040503050406030204" pitchFamily="18" charset="0"/>
                </a:rPr>
                <a:t>−𝜃)^2 </a:t>
              </a:r>
              <a:r>
                <a:rPr lang="es-VE" sz="1600" b="0" i="0">
                  <a:latin typeface="Cambria Math" panose="02040503050406030204" pitchFamily="18" charset="0"/>
                </a:rPr>
                <a:t>+(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𝐶 </a:t>
              </a:r>
              <a:r>
                <a:rPr lang="es-VE" sz="1600" i="0">
                  <a:latin typeface="Cambria Math" panose="02040503050406030204" pitchFamily="18" charset="0"/>
                </a:rPr>
                <a:t>𝑥_𝑓</a:t>
              </a:r>
              <a:r>
                <a:rPr lang="es-VE" sz="1600" b="0" i="0">
                  <a:latin typeface="Cambria Math" panose="02040503050406030204" pitchFamily="18" charset="0"/>
                </a:rPr>
                <a:t>𝐶)/(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𝐶</a:t>
              </a:r>
              <a:r>
                <a:rPr lang="es-VE" sz="1600" i="0">
                  <a:latin typeface="Cambria Math" panose="02040503050406030204" pitchFamily="18" charset="0"/>
                </a:rPr>
                <a:t>−𝜃)^2 </a:t>
              </a:r>
              <a:r>
                <a:rPr lang="es-VE" sz="1600" b="0" i="0">
                  <a:latin typeface="Cambria Math" panose="02040503050406030204" pitchFamily="18" charset="0"/>
                </a:rPr>
                <a:t>+(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𝐷 </a:t>
              </a:r>
              <a:r>
                <a:rPr lang="es-VE" sz="1600" i="0">
                  <a:latin typeface="Cambria Math" panose="02040503050406030204" pitchFamily="18" charset="0"/>
                </a:rPr>
                <a:t>𝑥_𝑓</a:t>
              </a:r>
              <a:r>
                <a:rPr lang="es-VE" sz="1600" b="0" i="0">
                  <a:latin typeface="Cambria Math" panose="02040503050406030204" pitchFamily="18" charset="0"/>
                </a:rPr>
                <a:t>𝐷)/(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𝐷</a:t>
              </a:r>
              <a:r>
                <a:rPr lang="es-VE" sz="1600" i="0">
                  <a:latin typeface="Cambria Math" panose="02040503050406030204" pitchFamily="18" charset="0"/>
                </a:rPr>
                <a:t>−𝜃)^2 </a:t>
              </a:r>
              <a:r>
                <a:rPr lang="es-VE" sz="1600" b="0" i="0">
                  <a:latin typeface="Cambria Math" panose="02040503050406030204" pitchFamily="18" charset="0"/>
                </a:rPr>
                <a:t>+(𝛼_𝐸 𝑥_𝑓𝐸)/(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𝐸</a:t>
              </a:r>
              <a:r>
                <a:rPr lang="es-VE" sz="1600" i="0">
                  <a:latin typeface="Cambria Math" panose="02040503050406030204" pitchFamily="18" charset="0"/>
                </a:rPr>
                <a:t>−𝜃)^2 </a:t>
              </a:r>
              <a:r>
                <a:rPr lang="es-VE" sz="1600" b="0" i="0">
                  <a:latin typeface="Cambria Math" panose="02040503050406030204" pitchFamily="18" charset="0"/>
                </a:rPr>
                <a:t>+(𝛼_𝐹 𝑥_𝑓𝐹)/(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𝐹</a:t>
              </a:r>
              <a:r>
                <a:rPr lang="es-VE" sz="1600" i="0">
                  <a:latin typeface="Cambria Math" panose="02040503050406030204" pitchFamily="18" charset="0"/>
                </a:rPr>
                <a:t>−𝜃)^2 </a:t>
              </a:r>
              <a:r>
                <a:rPr lang="es-VE" sz="1600" b="0" i="0">
                  <a:latin typeface="Cambria Math" panose="02040503050406030204" pitchFamily="18" charset="0"/>
                </a:rPr>
                <a:t>=0</a:t>
              </a:r>
              <a:endParaRPr lang="es-VE" sz="900"/>
            </a:p>
            <a:p>
              <a:endParaRPr lang="es-VE" sz="1100"/>
            </a:p>
          </xdr:txBody>
        </xdr:sp>
      </mc:Fallback>
    </mc:AlternateContent>
    <xdr:clientData/>
  </xdr:twoCellAnchor>
  <xdr:twoCellAnchor>
    <xdr:from>
      <xdr:col>15</xdr:col>
      <xdr:colOff>213360</xdr:colOff>
      <xdr:row>25</xdr:row>
      <xdr:rowOff>160020</xdr:rowOff>
    </xdr:from>
    <xdr:to>
      <xdr:col>17</xdr:col>
      <xdr:colOff>137160</xdr:colOff>
      <xdr:row>27</xdr:row>
      <xdr:rowOff>148590</xdr:rowOff>
    </xdr:to>
    <xdr:sp macro="" textlink="">
      <xdr:nvSpPr>
        <xdr:cNvPr id="21" name="CuadroTexto 20"/>
        <xdr:cNvSpPr txBox="1"/>
      </xdr:nvSpPr>
      <xdr:spPr>
        <a:xfrm>
          <a:off x="12725400" y="4808220"/>
          <a:ext cx="1493520" cy="35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VE" sz="1100">
              <a:latin typeface="Candara" panose="020E0502030303020204" pitchFamily="34" charset="0"/>
            </a:rPr>
            <a:t>Su derivada:</a:t>
          </a:r>
        </a:p>
      </xdr:txBody>
    </xdr:sp>
    <xdr:clientData/>
  </xdr:twoCellAnchor>
  <xdr:twoCellAnchor>
    <xdr:from>
      <xdr:col>0</xdr:col>
      <xdr:colOff>335280</xdr:colOff>
      <xdr:row>0</xdr:row>
      <xdr:rowOff>152400</xdr:rowOff>
    </xdr:from>
    <xdr:to>
      <xdr:col>15</xdr:col>
      <xdr:colOff>573405</xdr:colOff>
      <xdr:row>3</xdr:row>
      <xdr:rowOff>171450</xdr:rowOff>
    </xdr:to>
    <xdr:sp macro="" textlink="">
      <xdr:nvSpPr>
        <xdr:cNvPr id="19" name="CuadroTexto 18"/>
        <xdr:cNvSpPr txBox="1"/>
      </xdr:nvSpPr>
      <xdr:spPr>
        <a:xfrm>
          <a:off x="335280" y="152400"/>
          <a:ext cx="10266045" cy="567690"/>
        </a:xfrm>
        <a:prstGeom prst="rect">
          <a:avLst/>
        </a:prstGeom>
        <a:noFill/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VE" sz="2000">
              <a:latin typeface="Candara" panose="020E0502030303020204" pitchFamily="34" charset="0"/>
            </a:rPr>
            <a:t>Paso 1: Determinar Número mínimo de etapas con la ecuación de Fenske</a:t>
          </a:r>
        </a:p>
        <a:p>
          <a:pPr algn="ctr"/>
          <a:endParaRPr lang="es-VE" sz="2000">
            <a:latin typeface="Candara" panose="020E0502030303020204" pitchFamily="34" charset="0"/>
          </a:endParaRPr>
        </a:p>
      </xdr:txBody>
    </xdr:sp>
    <xdr:clientData/>
  </xdr:twoCellAnchor>
  <xdr:twoCellAnchor>
    <xdr:from>
      <xdr:col>9</xdr:col>
      <xdr:colOff>586740</xdr:colOff>
      <xdr:row>32</xdr:row>
      <xdr:rowOff>51707</xdr:rowOff>
    </xdr:from>
    <xdr:to>
      <xdr:col>20</xdr:col>
      <xdr:colOff>238397</xdr:colOff>
      <xdr:row>34</xdr:row>
      <xdr:rowOff>134295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3"/>
            <xdr:cNvSpPr txBox="1"/>
          </xdr:nvSpPr>
          <xdr:spPr>
            <a:xfrm>
              <a:off x="9854565" y="6290582"/>
              <a:ext cx="9290957" cy="4635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s-V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VE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𝑑𝐴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𝑑𝐵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</m:sSub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𝑑𝐶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sub>
                        </m:sSub>
                        <m:r>
                          <a:rPr lang="es-VE" sz="160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𝑑𝐷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</m:sSub>
                        <m:r>
                          <a:rPr lang="es-VE" sz="160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𝑑𝐸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sub>
                        </m:sSub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sub>
                        </m:sSub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𝑑𝐹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sub>
                        </m:sSub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𝜃</m:t>
                        </m:r>
                      </m:den>
                    </m:f>
                    <m:r>
                      <a:rPr lang="es-VE" sz="1600" b="0" i="1">
                        <a:latin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VE" sz="1600" b="0" i="1">
                            <a:latin typeface="Cambria Math" panose="02040503050406030204" pitchFamily="18" charset="0"/>
                          </a:rPr>
                          <m:t>1</m:t>
                        </m:r>
                      </m:e>
                    </m:d>
                    <m:r>
                      <a:rPr lang="es-VE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es-VE" sz="1100"/>
            </a:p>
          </xdr:txBody>
        </xdr:sp>
      </mc:Choice>
      <mc:Fallback xmlns="">
        <xdr:sp macro="" textlink="">
          <xdr:nvSpPr>
            <xdr:cNvPr id="22" name="CuadroTexto 3"/>
            <xdr:cNvSpPr txBox="1"/>
          </xdr:nvSpPr>
          <xdr:spPr>
            <a:xfrm>
              <a:off x="9854565" y="6290582"/>
              <a:ext cx="9290957" cy="4635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s-V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VE" sz="1600" i="0">
                  <a:latin typeface="Cambria Math" panose="02040503050406030204" pitchFamily="18" charset="0"/>
                </a:rPr>
                <a:t>(</a:t>
              </a:r>
              <a:r>
                <a:rPr lang="es-VE" sz="1600" b="0" i="0">
                  <a:latin typeface="Cambria Math" panose="02040503050406030204" pitchFamily="18" charset="0"/>
                </a:rPr>
                <a:t>𝛼_𝐴 𝑥_𝑑𝐴)/(𝛼_𝐴−𝜃)+(𝛼_𝐵 𝑥_𝑑𝐵)/(𝛼_𝐵−𝜃)+(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𝐶 </a:t>
              </a:r>
              <a:r>
                <a:rPr lang="es-VE" sz="1600" i="0">
                  <a:latin typeface="Cambria Math" panose="02040503050406030204" pitchFamily="18" charset="0"/>
                </a:rPr>
                <a:t>𝑥_</a:t>
              </a:r>
              <a:r>
                <a:rPr lang="es-VE" sz="1600" b="0" i="0">
                  <a:latin typeface="Cambria Math" panose="02040503050406030204" pitchFamily="18" charset="0"/>
                </a:rPr>
                <a:t>𝑑𝐶)/(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𝐶</a:t>
              </a:r>
              <a:r>
                <a:rPr lang="es-VE" sz="1600" i="0">
                  <a:latin typeface="Cambria Math" panose="02040503050406030204" pitchFamily="18" charset="0"/>
                </a:rPr>
                <a:t>−𝜃</a:t>
              </a:r>
              <a:r>
                <a:rPr lang="es-VE" sz="1600" b="0" i="0">
                  <a:latin typeface="Cambria Math" panose="02040503050406030204" pitchFamily="18" charset="0"/>
                </a:rPr>
                <a:t>)+(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𝐷 </a:t>
              </a:r>
              <a:r>
                <a:rPr lang="es-VE" sz="1600" i="0">
                  <a:latin typeface="Cambria Math" panose="02040503050406030204" pitchFamily="18" charset="0"/>
                </a:rPr>
                <a:t>𝑥_</a:t>
              </a:r>
              <a:r>
                <a:rPr lang="es-VE" sz="1600" b="0" i="0">
                  <a:latin typeface="Cambria Math" panose="02040503050406030204" pitchFamily="18" charset="0"/>
                </a:rPr>
                <a:t>𝑑𝐷)/(</a:t>
              </a:r>
              <a:r>
                <a:rPr lang="es-VE" sz="1600" i="0">
                  <a:latin typeface="Cambria Math" panose="02040503050406030204" pitchFamily="18" charset="0"/>
                </a:rPr>
                <a:t>𝛼_</a:t>
              </a:r>
              <a:r>
                <a:rPr lang="es-VE" sz="1600" b="0" i="0">
                  <a:latin typeface="Cambria Math" panose="02040503050406030204" pitchFamily="18" charset="0"/>
                </a:rPr>
                <a:t>𝐷</a:t>
              </a:r>
              <a:r>
                <a:rPr lang="es-VE" sz="1600" i="0">
                  <a:latin typeface="Cambria Math" panose="02040503050406030204" pitchFamily="18" charset="0"/>
                </a:rPr>
                <a:t>−𝜃</a:t>
              </a:r>
              <a:r>
                <a:rPr lang="es-VE" sz="1600" b="0" i="0">
                  <a:latin typeface="Cambria Math" panose="02040503050406030204" pitchFamily="18" charset="0"/>
                </a:rPr>
                <a:t>)+(𝛼_𝐸 𝑥_𝑑𝐸)/(𝛼_𝐸−𝜃)+(𝛼_𝐹 𝑥_𝑑𝐹)/(𝛼_𝐹−𝜃)−(1)=</a:t>
              </a:r>
              <a:r>
                <a:rPr lang="es-ES" sz="1600" b="0" i="0">
                  <a:latin typeface="Cambria Math" panose="02040503050406030204" pitchFamily="18" charset="0"/>
                </a:rPr>
                <a:t>𝑅_𝑚</a:t>
              </a:r>
              <a:endParaRPr lang="es-VE" sz="1100"/>
            </a:p>
          </xdr:txBody>
        </xdr:sp>
      </mc:Fallback>
    </mc:AlternateContent>
    <xdr:clientData/>
  </xdr:twoCellAnchor>
  <xdr:oneCellAnchor>
    <xdr:from>
      <xdr:col>8</xdr:col>
      <xdr:colOff>16168</xdr:colOff>
      <xdr:row>22</xdr:row>
      <xdr:rowOff>4083</xdr:rowOff>
    </xdr:from>
    <xdr:ext cx="39100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/>
            <xdr:cNvSpPr txBox="1"/>
          </xdr:nvSpPr>
          <xdr:spPr>
            <a:xfrm>
              <a:off x="6118653" y="1103309"/>
              <a:ext cx="39100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6118653" y="1103309"/>
              <a:ext cx="39100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</a:t>
              </a:r>
              <a:r>
                <a:rPr lang="es-ES" sz="1100" b="0" i="0">
                  <a:latin typeface="Cambria Math" panose="02040503050406030204" pitchFamily="18" charset="0"/>
                </a:rPr>
                <a:t>𝑑</a:t>
              </a:r>
              <a:r>
                <a:rPr lang="es-VE" sz="1100" b="0" i="0">
                  <a:latin typeface="Cambria Math" panose="02040503050406030204" pitchFamily="18" charset="0"/>
                </a:rPr>
                <a:t>𝐴=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8</xdr:col>
      <xdr:colOff>16168</xdr:colOff>
      <xdr:row>23</xdr:row>
      <xdr:rowOff>4270</xdr:rowOff>
    </xdr:from>
    <xdr:ext cx="3944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/>
            <xdr:cNvSpPr txBox="1"/>
          </xdr:nvSpPr>
          <xdr:spPr>
            <a:xfrm>
              <a:off x="6118653" y="1294806"/>
              <a:ext cx="394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24" name="CuadroTexto 23"/>
            <xdr:cNvSpPr txBox="1"/>
          </xdr:nvSpPr>
          <xdr:spPr>
            <a:xfrm>
              <a:off x="6118653" y="1294806"/>
              <a:ext cx="394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</a:t>
              </a:r>
              <a:r>
                <a:rPr lang="es-ES" sz="1100" b="0" i="0">
                  <a:latin typeface="Cambria Math" panose="02040503050406030204" pitchFamily="18" charset="0"/>
                </a:rPr>
                <a:t>𝑑</a:t>
              </a:r>
              <a:r>
                <a:rPr lang="es-VE" sz="1100" b="0" i="0">
                  <a:latin typeface="Cambria Math" panose="02040503050406030204" pitchFamily="18" charset="0"/>
                </a:rPr>
                <a:t>𝐵=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8</xdr:col>
      <xdr:colOff>27054</xdr:colOff>
      <xdr:row>23</xdr:row>
      <xdr:rowOff>182758</xdr:rowOff>
    </xdr:from>
    <xdr:ext cx="3887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/>
            <xdr:cNvSpPr txBox="1"/>
          </xdr:nvSpPr>
          <xdr:spPr>
            <a:xfrm>
              <a:off x="6129539" y="1473294"/>
              <a:ext cx="3887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6129539" y="1473294"/>
              <a:ext cx="3887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</a:t>
              </a:r>
              <a:r>
                <a:rPr lang="es-ES" sz="1100" b="0" i="0">
                  <a:latin typeface="Cambria Math" panose="02040503050406030204" pitchFamily="18" charset="0"/>
                </a:rPr>
                <a:t>𝑑</a:t>
              </a:r>
              <a:r>
                <a:rPr lang="es-VE" sz="1100" b="0" i="0">
                  <a:latin typeface="Cambria Math" panose="02040503050406030204" pitchFamily="18" charset="0"/>
                </a:rPr>
                <a:t>𝐶=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8</xdr:col>
      <xdr:colOff>32496</xdr:colOff>
      <xdr:row>24</xdr:row>
      <xdr:rowOff>172436</xdr:rowOff>
    </xdr:from>
    <xdr:ext cx="39805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/>
            <xdr:cNvSpPr txBox="1"/>
          </xdr:nvSpPr>
          <xdr:spPr>
            <a:xfrm>
              <a:off x="6134981" y="1660768"/>
              <a:ext cx="3980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26" name="CuadroTexto 25"/>
            <xdr:cNvSpPr txBox="1"/>
          </xdr:nvSpPr>
          <xdr:spPr>
            <a:xfrm>
              <a:off x="6134981" y="1660768"/>
              <a:ext cx="3980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</a:t>
              </a:r>
              <a:r>
                <a:rPr lang="es-ES" sz="1100" b="0" i="0">
                  <a:latin typeface="Cambria Math" panose="02040503050406030204" pitchFamily="18" charset="0"/>
                </a:rPr>
                <a:t>𝑑</a:t>
              </a:r>
              <a:r>
                <a:rPr lang="es-VE" sz="1100" b="0" i="0">
                  <a:latin typeface="Cambria Math" panose="02040503050406030204" pitchFamily="18" charset="0"/>
                </a:rPr>
                <a:t>𝐷=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8</xdr:col>
      <xdr:colOff>27053</xdr:colOff>
      <xdr:row>25</xdr:row>
      <xdr:rowOff>166993</xdr:rowOff>
    </xdr:from>
    <xdr:ext cx="39164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/>
            <xdr:cNvSpPr txBox="1"/>
          </xdr:nvSpPr>
          <xdr:spPr>
            <a:xfrm>
              <a:off x="6129538" y="1836908"/>
              <a:ext cx="3916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27" name="CuadroTexto 26"/>
            <xdr:cNvSpPr txBox="1"/>
          </xdr:nvSpPr>
          <xdr:spPr>
            <a:xfrm>
              <a:off x="6129538" y="1836908"/>
              <a:ext cx="3916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</a:t>
              </a:r>
              <a:r>
                <a:rPr lang="es-ES" sz="1100" b="0" i="0">
                  <a:latin typeface="Cambria Math" panose="02040503050406030204" pitchFamily="18" charset="0"/>
                </a:rPr>
                <a:t>𝑑</a:t>
              </a:r>
              <a:r>
                <a:rPr lang="es-VE" sz="1100" b="0" i="0">
                  <a:latin typeface="Cambria Math" panose="02040503050406030204" pitchFamily="18" charset="0"/>
                </a:rPr>
                <a:t>𝐸=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8</xdr:col>
      <xdr:colOff>32496</xdr:colOff>
      <xdr:row>27</xdr:row>
      <xdr:rowOff>1738</xdr:rowOff>
    </xdr:from>
    <xdr:ext cx="3897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/>
            <xdr:cNvSpPr txBox="1"/>
          </xdr:nvSpPr>
          <xdr:spPr>
            <a:xfrm>
              <a:off x="6134981" y="2034819"/>
              <a:ext cx="3897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28" name="CuadroTexto 27"/>
            <xdr:cNvSpPr txBox="1"/>
          </xdr:nvSpPr>
          <xdr:spPr>
            <a:xfrm>
              <a:off x="6134981" y="2034819"/>
              <a:ext cx="3897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</a:t>
              </a:r>
              <a:r>
                <a:rPr lang="es-ES" sz="1100" b="0" i="0">
                  <a:latin typeface="Cambria Math" panose="02040503050406030204" pitchFamily="18" charset="0"/>
                </a:rPr>
                <a:t>𝑑</a:t>
              </a:r>
              <a:r>
                <a:rPr lang="es-VE" sz="1100" b="0" i="0">
                  <a:latin typeface="Cambria Math" panose="02040503050406030204" pitchFamily="18" charset="0"/>
                </a:rPr>
                <a:t>𝐹=</a:t>
              </a:r>
              <a:endParaRPr lang="es-VE" sz="1100" b="0"/>
            </a:p>
          </xdr:txBody>
        </xdr:sp>
      </mc:Fallback>
    </mc:AlternateContent>
    <xdr:clientData/>
  </xdr:oneCellAnchor>
  <xdr:twoCellAnchor>
    <xdr:from>
      <xdr:col>15</xdr:col>
      <xdr:colOff>220980</xdr:colOff>
      <xdr:row>30</xdr:row>
      <xdr:rowOff>68580</xdr:rowOff>
    </xdr:from>
    <xdr:to>
      <xdr:col>17</xdr:col>
      <xdr:colOff>144780</xdr:colOff>
      <xdr:row>32</xdr:row>
      <xdr:rowOff>57150</xdr:rowOff>
    </xdr:to>
    <xdr:sp macro="" textlink="">
      <xdr:nvSpPr>
        <xdr:cNvPr id="29" name="CuadroTexto 28"/>
        <xdr:cNvSpPr txBox="1"/>
      </xdr:nvSpPr>
      <xdr:spPr>
        <a:xfrm>
          <a:off x="12733020" y="5631180"/>
          <a:ext cx="1493520" cy="35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VE" sz="1100">
              <a:latin typeface="Candara" panose="020E0502030303020204" pitchFamily="34" charset="0"/>
            </a:rPr>
            <a:t>Reflujo mín:</a:t>
          </a:r>
        </a:p>
      </xdr:txBody>
    </xdr:sp>
    <xdr:clientData/>
  </xdr:twoCellAnchor>
  <xdr:oneCellAnchor>
    <xdr:from>
      <xdr:col>7</xdr:col>
      <xdr:colOff>335280</xdr:colOff>
      <xdr:row>6</xdr:row>
      <xdr:rowOff>83820</xdr:rowOff>
    </xdr:from>
    <xdr:ext cx="2702343" cy="9272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/>
            <xdr:cNvSpPr txBox="1"/>
          </xdr:nvSpPr>
          <xdr:spPr>
            <a:xfrm>
              <a:off x="7886007" y="1226820"/>
              <a:ext cx="2702343" cy="9272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2000" b="0" i="1">
                        <a:latin typeface="Cambria Math" panose="02040503050406030204" pitchFamily="18" charset="0"/>
                      </a:rPr>
                      <m:t>𝑛</m:t>
                    </m:r>
                    <m:r>
                      <a:rPr lang="es-ES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s-ES" sz="20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ES" sz="2000" b="0" i="0">
                                <a:latin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es-ES" sz="20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d>
                                  <m:dPr>
                                    <m:ctrlPr>
                                      <a:rPr lang="es-ES" sz="2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20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sSub>
                                          <m:sSubPr>
                                            <m:ctrlPr>
                                              <a:rPr lang="es-ES" sz="20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ES" sz="2000" b="0" i="1">
                                                <a:latin typeface="Cambria Math" panose="02040503050406030204" pitchFamily="18" charset="0"/>
                                              </a:rPr>
                                              <m:t>𝑥</m:t>
                                            </m:r>
                                          </m:e>
                                          <m:sub>
                                            <m:sSub>
                                              <m:sSubPr>
                                                <m:ctrlP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𝑑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𝐿𝐾</m:t>
                                                </m:r>
                                              </m:sub>
                                            </m:sSub>
                                          </m:sub>
                                        </m:sSub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lang="es-ES" sz="20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ES" sz="2000" b="0" i="1">
                                                <a:latin typeface="Cambria Math" panose="02040503050406030204" pitchFamily="18" charset="0"/>
                                              </a:rPr>
                                              <m:t>𝑥</m:t>
                                            </m:r>
                                          </m:e>
                                          <m:sub>
                                            <m:sSub>
                                              <m:sSubPr>
                                                <m:ctrlP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𝑑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𝐻𝐾</m:t>
                                                </m:r>
                                              </m:sub>
                                            </m:sSub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  <m:d>
                                  <m:dPr>
                                    <m:ctrlPr>
                                      <a:rPr lang="es-ES" sz="2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20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sSub>
                                          <m:sSubPr>
                                            <m:ctrlPr>
                                              <a:rPr lang="es-ES" sz="20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ES" sz="2000" b="0" i="1">
                                                <a:latin typeface="Cambria Math" panose="02040503050406030204" pitchFamily="18" charset="0"/>
                                              </a:rPr>
                                              <m:t>𝑥</m:t>
                                            </m:r>
                                          </m:e>
                                          <m:sub>
                                            <m:sSub>
                                              <m:sSubPr>
                                                <m:ctrlP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𝑏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s-VE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𝐻</m:t>
                                                </m:r>
                                                <m: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𝐾</m:t>
                                                </m:r>
                                              </m:sub>
                                            </m:sSub>
                                          </m:sub>
                                        </m:sSub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lang="es-ES" sz="20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ES" sz="2000" b="0" i="1">
                                                <a:latin typeface="Cambria Math" panose="02040503050406030204" pitchFamily="18" charset="0"/>
                                              </a:rPr>
                                              <m:t>𝑥</m:t>
                                            </m:r>
                                          </m:e>
                                          <m:sub>
                                            <m:sSub>
                                              <m:sSubPr>
                                                <m:ctrlP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𝑏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s-VE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𝐿</m:t>
                                                </m:r>
                                                <m:r>
                                                  <a:rPr lang="es-ES" sz="2000" b="0" i="1">
                                                    <a:latin typeface="Cambria Math" panose="02040503050406030204" pitchFamily="18" charset="0"/>
                                                  </a:rPr>
                                                  <m:t>𝐾</m:t>
                                                </m:r>
                                              </m:sub>
                                            </m:sSub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</m:d>
                          </m:e>
                        </m:func>
                      </m:num>
                      <m:den>
                        <m:sSub>
                          <m:sSubPr>
                            <m:ctrlPr>
                              <a:rPr lang="es-VE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func>
                              <m:funcPr>
                                <m:ctrlPr>
                                  <a:rPr lang="es-VE" sz="2000" b="0" i="1"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VE" sz="2000" b="0" i="0">
                                    <a:latin typeface="Cambria Math" panose="02040503050406030204" pitchFamily="18" charset="0"/>
                                  </a:rPr>
                                  <m:t>log</m:t>
                                </m:r>
                              </m:fName>
                              <m:e>
                                <m:r>
                                  <a:rPr lang="es-VE" sz="2000" b="0" i="1">
                                    <a:latin typeface="Cambria Math" panose="02040503050406030204" pitchFamily="18" charset="0"/>
                                  </a:rPr>
                                  <m:t>𝛼</m:t>
                                </m:r>
                              </m:e>
                            </m:func>
                          </m:e>
                          <m:sub>
                            <m:r>
                              <a:rPr lang="es-VE" sz="2000" b="0" i="1">
                                <a:latin typeface="Cambria Math" panose="02040503050406030204" pitchFamily="18" charset="0"/>
                              </a:rPr>
                              <m:t>𝐿𝐾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7886007" y="1226820"/>
              <a:ext cx="2702343" cy="9272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2000" b="0" i="0">
                  <a:latin typeface="Cambria Math" panose="02040503050406030204" pitchFamily="18" charset="0"/>
                </a:rPr>
                <a:t>𝑛=log⁡[(𝑥_(𝑑_𝐿𝐾 )/𝑥_(𝑑_𝐻𝐾 ) )(𝑥_(𝑏_</a:t>
              </a:r>
              <a:r>
                <a:rPr lang="es-VE" sz="2000" b="0" i="0">
                  <a:latin typeface="Cambria Math" panose="02040503050406030204" pitchFamily="18" charset="0"/>
                </a:rPr>
                <a:t>𝐻</a:t>
              </a:r>
              <a:r>
                <a:rPr lang="es-ES" sz="2000" b="0" i="0">
                  <a:latin typeface="Cambria Math" panose="02040503050406030204" pitchFamily="18" charset="0"/>
                </a:rPr>
                <a:t>𝐾 )/𝑥_(𝑏_</a:t>
              </a:r>
              <a:r>
                <a:rPr lang="es-VE" sz="2000" b="0" i="0">
                  <a:latin typeface="Cambria Math" panose="02040503050406030204" pitchFamily="18" charset="0"/>
                </a:rPr>
                <a:t>𝐿</a:t>
              </a:r>
              <a:r>
                <a:rPr lang="es-ES" sz="2000" b="0" i="0">
                  <a:latin typeface="Cambria Math" panose="02040503050406030204" pitchFamily="18" charset="0"/>
                </a:rPr>
                <a:t>𝐾 ) )]/</a:t>
              </a:r>
              <a:r>
                <a:rPr lang="es-VE" sz="2000" b="0" i="0">
                  <a:latin typeface="Cambria Math" panose="02040503050406030204" pitchFamily="18" charset="0"/>
                </a:rPr>
                <a:t>〖log⁡𝛼〗_𝐿𝐾</a:t>
              </a:r>
              <a:r>
                <a:rPr lang="es-ES" sz="2000" b="0" i="0">
                  <a:latin typeface="Cambria Math" panose="02040503050406030204" pitchFamily="18" charset="0"/>
                </a:rPr>
                <a:t>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39</xdr:row>
      <xdr:rowOff>144780</xdr:rowOff>
    </xdr:from>
    <xdr:to>
      <xdr:col>15</xdr:col>
      <xdr:colOff>238125</xdr:colOff>
      <xdr:row>42</xdr:row>
      <xdr:rowOff>163830</xdr:rowOff>
    </xdr:to>
    <xdr:sp macro="" textlink="">
      <xdr:nvSpPr>
        <xdr:cNvPr id="32" name="CuadroTexto 31"/>
        <xdr:cNvSpPr txBox="1"/>
      </xdr:nvSpPr>
      <xdr:spPr>
        <a:xfrm>
          <a:off x="0" y="7376160"/>
          <a:ext cx="10266045" cy="567690"/>
        </a:xfrm>
        <a:prstGeom prst="rect">
          <a:avLst/>
        </a:prstGeom>
        <a:noFill/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VE" sz="2000">
              <a:latin typeface="Candara" panose="020E0502030303020204" pitchFamily="34" charset="0"/>
            </a:rPr>
            <a:t>Paso 3: Determinar el número de etapas teóricas con la correlación de Gilliland</a:t>
          </a:r>
        </a:p>
      </xdr:txBody>
    </xdr:sp>
    <xdr:clientData/>
  </xdr:twoCellAnchor>
  <xdr:oneCellAnchor>
    <xdr:from>
      <xdr:col>3</xdr:col>
      <xdr:colOff>220980</xdr:colOff>
      <xdr:row>51</xdr:row>
      <xdr:rowOff>83820</xdr:rowOff>
    </xdr:from>
    <xdr:ext cx="13728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/>
            <xdr:cNvSpPr txBox="1"/>
          </xdr:nvSpPr>
          <xdr:spPr>
            <a:xfrm>
              <a:off x="2400300" y="9883140"/>
              <a:ext cx="1372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2400300" y="9883140"/>
              <a:ext cx="1372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358140</xdr:colOff>
      <xdr:row>45</xdr:row>
      <xdr:rowOff>182880</xdr:rowOff>
    </xdr:from>
    <xdr:ext cx="1260409" cy="465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/>
            <xdr:cNvSpPr txBox="1"/>
          </xdr:nvSpPr>
          <xdr:spPr>
            <a:xfrm>
              <a:off x="7490460" y="8343900"/>
              <a:ext cx="1260409" cy="465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6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</m:num>
                      <m:den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+1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7490460" y="8343900"/>
              <a:ext cx="1260409" cy="465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600" b="0" i="0">
                  <a:latin typeface="Cambria Math" panose="02040503050406030204" pitchFamily="18" charset="0"/>
                </a:rPr>
                <a:t>𝑋=(𝑅−𝑅_𝑚𝑖𝑛)/(𝑅+1)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327660</xdr:colOff>
      <xdr:row>49</xdr:row>
      <xdr:rowOff>114300</xdr:rowOff>
    </xdr:from>
    <xdr:ext cx="3295389" cy="465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/>
            <xdr:cNvSpPr txBox="1"/>
          </xdr:nvSpPr>
          <xdr:spPr>
            <a:xfrm>
              <a:off x="7459980" y="9029700"/>
              <a:ext cx="3295389" cy="465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600" b="0" i="0">
                        <a:latin typeface="Cambria Math" panose="02040503050406030204" pitchFamily="18" charset="0"/>
                      </a:rPr>
                      <m:t>Y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</m:num>
                      <m:den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+1</m:t>
                        </m:r>
                      </m:den>
                    </m:f>
                    <m:r>
                      <a:rPr lang="es-ES" sz="1600" b="0" i="1">
                        <a:latin typeface="Cambria Math" panose="02040503050406030204" pitchFamily="18" charset="0"/>
                      </a:rPr>
                      <m:t>    </m:t>
                    </m:r>
                    <m:r>
                      <a:rPr lang="es-E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    </m:t>
                    </m:r>
                    <m:r>
                      <a:rPr lang="es-E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es-E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𝑌</m:t>
                        </m:r>
                      </m:num>
                      <m:den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𝑌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35" name="CuadroTexto 34"/>
            <xdr:cNvSpPr txBox="1"/>
          </xdr:nvSpPr>
          <xdr:spPr>
            <a:xfrm>
              <a:off x="7459980" y="9029700"/>
              <a:ext cx="3295389" cy="465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600" b="0" i="0">
                  <a:latin typeface="Cambria Math" panose="02040503050406030204" pitchFamily="18" charset="0"/>
                </a:rPr>
                <a:t>Y=(𝑁−𝑁_𝑚𝑖𝑛)/(𝑁+1)     </a:t>
              </a:r>
              <a:r>
                <a:rPr lang="es-E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→    𝑁=(−𝑁_𝑚𝑖𝑛−𝑌)/(𝑌−1)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342900</xdr:colOff>
      <xdr:row>57</xdr:row>
      <xdr:rowOff>45720</xdr:rowOff>
    </xdr:from>
    <xdr:ext cx="1264642" cy="465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/>
            <xdr:cNvSpPr txBox="1"/>
          </xdr:nvSpPr>
          <xdr:spPr>
            <a:xfrm>
              <a:off x="7475220" y="10416540"/>
              <a:ext cx="1264642" cy="465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600" b="0" i="0">
                        <a:latin typeface="Cambria Math" panose="02040503050406030204" pitchFamily="18" charset="0"/>
                      </a:rPr>
                      <m:t>Y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</m:num>
                      <m:den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+1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36" name="CuadroTexto 35"/>
            <xdr:cNvSpPr txBox="1"/>
          </xdr:nvSpPr>
          <xdr:spPr>
            <a:xfrm>
              <a:off x="7475220" y="10416540"/>
              <a:ext cx="1264642" cy="465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600" b="0" i="0">
                  <a:latin typeface="Cambria Math" panose="02040503050406030204" pitchFamily="18" charset="0"/>
                </a:rPr>
                <a:t>Y=(𝑁−𝑁_𝑚𝑖𝑛)/(𝑁+1)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304800</xdr:colOff>
      <xdr:row>53</xdr:row>
      <xdr:rowOff>53340</xdr:rowOff>
    </xdr:from>
    <xdr:ext cx="2647776" cy="4388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/>
            <xdr:cNvSpPr txBox="1"/>
          </xdr:nvSpPr>
          <xdr:spPr>
            <a:xfrm>
              <a:off x="7437120" y="9692640"/>
              <a:ext cx="2647776" cy="4388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800" b="0" i="0">
                        <a:latin typeface="Cambria Math" panose="02040503050406030204" pitchFamily="18" charset="0"/>
                      </a:rPr>
                      <m:t>Y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=1−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begChr m:val="["/>
                            <m:endChr m:val="]"/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d>
                              <m:d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  <m:t>1+54,4</m:t>
                                    </m:r>
                                    <m: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num>
                                  <m:den>
                                    <m: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  <m:t>11+117,2</m:t>
                                    </m:r>
                                    <m: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den>
                                </m:f>
                              </m:e>
                            </m:d>
                            <m:d>
                              <m:d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  <m: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  <m:t>−1</m:t>
                                    </m:r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e>
                                      <m:sup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0,5</m:t>
                                        </m:r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d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7437120" y="9692640"/>
              <a:ext cx="2647776" cy="4388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Y=1−𝑒^[((1+54,4𝑥)/(11+117,2𝑥))((𝑥−1)/𝑥^0,5 )] 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</xdr:col>
      <xdr:colOff>1304345</xdr:colOff>
      <xdr:row>60</xdr:row>
      <xdr:rowOff>994</xdr:rowOff>
    </xdr:from>
    <xdr:ext cx="350481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/>
            <xdr:cNvSpPr txBox="1"/>
          </xdr:nvSpPr>
          <xdr:spPr>
            <a:xfrm>
              <a:off x="1913945" y="11232211"/>
              <a:ext cx="350481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≈</m:t>
                    </m:r>
                  </m:oMath>
                </m:oMathPara>
              </a14:m>
              <a:endParaRPr lang="es-E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38" name="CuadroTexto 37"/>
            <xdr:cNvSpPr txBox="1"/>
          </xdr:nvSpPr>
          <xdr:spPr>
            <a:xfrm>
              <a:off x="1913945" y="11232211"/>
              <a:ext cx="350481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≈</a:t>
              </a:r>
              <a:endParaRPr lang="es-ES" sz="1100" b="0"/>
            </a:p>
            <a:p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502920</xdr:colOff>
      <xdr:row>9</xdr:row>
      <xdr:rowOff>15240</xdr:rowOff>
    </xdr:from>
    <xdr:ext cx="350481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/>
            <xdr:cNvSpPr txBox="1"/>
          </xdr:nvSpPr>
          <xdr:spPr>
            <a:xfrm>
              <a:off x="3467100" y="1691640"/>
              <a:ext cx="350481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≈</m:t>
                    </m:r>
                  </m:oMath>
                </m:oMathPara>
              </a14:m>
              <a:endParaRPr lang="es-E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3467100" y="1691640"/>
              <a:ext cx="350481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≈</a:t>
              </a:r>
              <a:endParaRPr lang="es-ES" sz="1100" b="0"/>
            </a:p>
            <a:p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114300</xdr:colOff>
      <xdr:row>62</xdr:row>
      <xdr:rowOff>45720</xdr:rowOff>
    </xdr:from>
    <xdr:to>
      <xdr:col>15</xdr:col>
      <xdr:colOff>352425</xdr:colOff>
      <xdr:row>65</xdr:row>
      <xdr:rowOff>64770</xdr:rowOff>
    </xdr:to>
    <xdr:sp macro="" textlink="">
      <xdr:nvSpPr>
        <xdr:cNvPr id="40" name="CuadroTexto 39"/>
        <xdr:cNvSpPr txBox="1"/>
      </xdr:nvSpPr>
      <xdr:spPr>
        <a:xfrm>
          <a:off x="114300" y="11513820"/>
          <a:ext cx="11058525" cy="567690"/>
        </a:xfrm>
        <a:prstGeom prst="rect">
          <a:avLst/>
        </a:prstGeom>
        <a:noFill/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VE" sz="2000">
              <a:latin typeface="Candara" panose="020E0502030303020204" pitchFamily="34" charset="0"/>
            </a:rPr>
            <a:t>Paso 4: Determinar la posición del</a:t>
          </a:r>
          <a:r>
            <a:rPr lang="es-VE" sz="2000" baseline="0">
              <a:latin typeface="Candara" panose="020E0502030303020204" pitchFamily="34" charset="0"/>
            </a:rPr>
            <a:t> plato de alimentación según Kirkbride</a:t>
          </a:r>
          <a:endParaRPr lang="es-VE" sz="2000">
            <a:latin typeface="Candara" panose="020E0502030303020204" pitchFamily="34" charset="0"/>
          </a:endParaRPr>
        </a:p>
      </xdr:txBody>
    </xdr:sp>
    <xdr:clientData/>
  </xdr:twoCellAnchor>
  <xdr:oneCellAnchor>
    <xdr:from>
      <xdr:col>1</xdr:col>
      <xdr:colOff>16328</xdr:colOff>
      <xdr:row>69</xdr:row>
      <xdr:rowOff>166552</xdr:rowOff>
    </xdr:from>
    <xdr:ext cx="463973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/>
            <xdr:cNvSpPr txBox="1"/>
          </xdr:nvSpPr>
          <xdr:spPr>
            <a:xfrm>
              <a:off x="625928" y="12830040"/>
              <a:ext cx="463973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𝐻𝐾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25928" y="12830040"/>
              <a:ext cx="463973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𝑥_𝑓</a:t>
              </a:r>
              <a:r>
                <a:rPr lang="es-ES" sz="1100" b="0" i="0">
                  <a:latin typeface="Cambria Math" panose="02040503050406030204" pitchFamily="18" charset="0"/>
                </a:rPr>
                <a:t>𝐻𝐾</a:t>
              </a:r>
              <a:r>
                <a:rPr lang="es-VE" sz="1100" b="0" i="0">
                  <a:latin typeface="Cambria Math" panose="02040503050406030204" pitchFamily="18" charset="0"/>
                </a:rPr>
                <a:t>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1</xdr:col>
      <xdr:colOff>11566</xdr:colOff>
      <xdr:row>70</xdr:row>
      <xdr:rowOff>157027</xdr:rowOff>
    </xdr:from>
    <xdr:ext cx="442878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/>
            <xdr:cNvSpPr txBox="1"/>
          </xdr:nvSpPr>
          <xdr:spPr>
            <a:xfrm>
              <a:off x="621166" y="13001490"/>
              <a:ext cx="442878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𝐿𝐾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621166" y="13001490"/>
              <a:ext cx="442878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𝑥_𝑓</a:t>
              </a:r>
              <a:r>
                <a:rPr lang="es-ES" sz="1100" b="0" i="0">
                  <a:latin typeface="Cambria Math" panose="02040503050406030204" pitchFamily="18" charset="0"/>
                </a:rPr>
                <a:t>𝐿𝐾</a:t>
              </a:r>
              <a:r>
                <a:rPr lang="es-VE" sz="1100" b="0" i="0">
                  <a:latin typeface="Cambria Math" panose="02040503050406030204" pitchFamily="18" charset="0"/>
                </a:rPr>
                <a:t>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1</xdr:col>
      <xdr:colOff>6803</xdr:colOff>
      <xdr:row>71</xdr:row>
      <xdr:rowOff>176077</xdr:rowOff>
    </xdr:from>
    <xdr:ext cx="4764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/>
            <xdr:cNvSpPr txBox="1"/>
          </xdr:nvSpPr>
          <xdr:spPr>
            <a:xfrm>
              <a:off x="616403" y="13201515"/>
              <a:ext cx="476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𝑑𝐻𝐾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616403" y="13201515"/>
              <a:ext cx="476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</a:t>
              </a:r>
              <a:r>
                <a:rPr lang="es-ES" sz="1100" b="0" i="0">
                  <a:latin typeface="Cambria Math" panose="02040503050406030204" pitchFamily="18" charset="0"/>
                </a:rPr>
                <a:t>𝑑𝐻𝐾</a:t>
              </a:r>
              <a:r>
                <a:rPr lang="es-VE" sz="1100" b="0" i="0">
                  <a:latin typeface="Cambria Math" panose="02040503050406030204" pitchFamily="18" charset="0"/>
                </a:rPr>
                <a:t>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1</xdr:col>
      <xdr:colOff>16328</xdr:colOff>
      <xdr:row>72</xdr:row>
      <xdr:rowOff>171315</xdr:rowOff>
    </xdr:from>
    <xdr:ext cx="451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/>
            <xdr:cNvSpPr txBox="1"/>
          </xdr:nvSpPr>
          <xdr:spPr>
            <a:xfrm>
              <a:off x="625928" y="13377728"/>
              <a:ext cx="451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VE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𝑏𝐿𝐾</m:t>
                        </m:r>
                      </m:sub>
                    </m:sSub>
                    <m:r>
                      <a:rPr lang="es-VE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VE" sz="1100" b="0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625928" y="13377728"/>
              <a:ext cx="451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0" i="0">
                  <a:latin typeface="Cambria Math" panose="02040503050406030204" pitchFamily="18" charset="0"/>
                </a:rPr>
                <a:t>𝑥_</a:t>
              </a:r>
              <a:r>
                <a:rPr lang="es-ES" sz="1100" b="0" i="0">
                  <a:latin typeface="Cambria Math" panose="02040503050406030204" pitchFamily="18" charset="0"/>
                </a:rPr>
                <a:t>𝑏𝐿𝐾</a:t>
              </a:r>
              <a:r>
                <a:rPr lang="es-VE" sz="1100" b="0" i="0">
                  <a:latin typeface="Cambria Math" panose="02040503050406030204" pitchFamily="18" charset="0"/>
                </a:rPr>
                <a:t>=</a:t>
              </a:r>
              <a:endParaRPr lang="es-VE" sz="1100" b="0"/>
            </a:p>
          </xdr:txBody>
        </xdr:sp>
      </mc:Fallback>
    </mc:AlternateContent>
    <xdr:clientData/>
  </xdr:oneCellAnchor>
  <xdr:oneCellAnchor>
    <xdr:from>
      <xdr:col>1</xdr:col>
      <xdr:colOff>46383</xdr:colOff>
      <xdr:row>74</xdr:row>
      <xdr:rowOff>33130</xdr:rowOff>
    </xdr:from>
    <xdr:ext cx="646267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/>
            <xdr:cNvSpPr txBox="1"/>
          </xdr:nvSpPr>
          <xdr:spPr>
            <a:xfrm>
              <a:off x="655983" y="13875026"/>
              <a:ext cx="646267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𝑁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𝑟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𝑁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=</m:t>
                        </m:r>
                      </m:e>
                    </m:fun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6" name="CuadroTexto 45"/>
            <xdr:cNvSpPr txBox="1"/>
          </xdr:nvSpPr>
          <xdr:spPr>
            <a:xfrm>
              <a:off x="655983" y="13875026"/>
              <a:ext cx="646267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log⁡〖[𝑁_𝑟/𝑁_𝑠 ]=〗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72887</xdr:colOff>
      <xdr:row>75</xdr:row>
      <xdr:rowOff>86139</xdr:rowOff>
    </xdr:from>
    <xdr:ext cx="34067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/>
            <xdr:cNvSpPr txBox="1"/>
          </xdr:nvSpPr>
          <xdr:spPr>
            <a:xfrm>
              <a:off x="682487" y="14378609"/>
              <a:ext cx="34067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682487" y="14378609"/>
              <a:ext cx="34067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𝑁_𝑟/𝑁_𝑎 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33130</xdr:colOff>
      <xdr:row>76</xdr:row>
      <xdr:rowOff>6624</xdr:rowOff>
    </xdr:from>
    <xdr:ext cx="3533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/>
            <xdr:cNvSpPr txBox="1"/>
          </xdr:nvSpPr>
          <xdr:spPr>
            <a:xfrm>
              <a:off x="642730" y="14789424"/>
              <a:ext cx="3533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𝑵</m:t>
                        </m:r>
                      </m:e>
                      <m:sub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𝒂</m:t>
                        </m:r>
                      </m:sub>
                    </m:sSub>
                    <m:r>
                      <a:rPr lang="es-ES" sz="1100" b="1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642730" y="14789424"/>
              <a:ext cx="3533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1" i="0">
                  <a:latin typeface="Cambria Math" panose="02040503050406030204" pitchFamily="18" charset="0"/>
                </a:rPr>
                <a:t>𝑵_𝒂=</a:t>
              </a:r>
              <a:endParaRPr lang="en-US" sz="1100" b="1"/>
            </a:p>
          </xdr:txBody>
        </xdr:sp>
      </mc:Fallback>
    </mc:AlternateContent>
    <xdr:clientData/>
  </xdr:oneCellAnchor>
  <xdr:oneCellAnchor>
    <xdr:from>
      <xdr:col>1</xdr:col>
      <xdr:colOff>39756</xdr:colOff>
      <xdr:row>77</xdr:row>
      <xdr:rowOff>185529</xdr:rowOff>
    </xdr:from>
    <xdr:ext cx="34471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/>
            <xdr:cNvSpPr txBox="1"/>
          </xdr:nvSpPr>
          <xdr:spPr>
            <a:xfrm>
              <a:off x="649356" y="15153859"/>
              <a:ext cx="3447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𝑵</m:t>
                        </m:r>
                      </m:e>
                      <m:sub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𝒓</m:t>
                        </m:r>
                      </m:sub>
                    </m:sSub>
                    <m:r>
                      <a:rPr lang="es-ES" sz="1100" b="1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649356" y="15153859"/>
              <a:ext cx="3447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1" i="0">
                  <a:latin typeface="Cambria Math" panose="02040503050406030204" pitchFamily="18" charset="0"/>
                </a:rPr>
                <a:t>𝑵_𝒓=</a:t>
              </a:r>
              <a:endParaRPr lang="en-US" sz="1100" b="1"/>
            </a:p>
          </xdr:txBody>
        </xdr:sp>
      </mc:Fallback>
    </mc:AlternateContent>
    <xdr:clientData/>
  </xdr:oneCellAnchor>
  <xdr:oneCellAnchor>
    <xdr:from>
      <xdr:col>3</xdr:col>
      <xdr:colOff>708990</xdr:colOff>
      <xdr:row>68</xdr:row>
      <xdr:rowOff>26504</xdr:rowOff>
    </xdr:from>
    <xdr:ext cx="4147931" cy="6626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/>
            <xdr:cNvSpPr txBox="1"/>
          </xdr:nvSpPr>
          <xdr:spPr>
            <a:xfrm>
              <a:off x="3717233" y="12755217"/>
              <a:ext cx="4147931" cy="6626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ES" sz="1600" b="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  <m:t>𝑁</m:t>
                                    </m:r>
                                  </m:e>
                                  <m:sub>
                                    <m: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  <m:t>𝑟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  <m:t>𝑁</m:t>
                                    </m:r>
                                  </m:e>
                                  <m:sub>
                                    <m: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  <m:t>𝑎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=0,206</m:t>
                        </m:r>
                        <m:func>
                          <m:func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ES" sz="1600" b="0" i="0">
                                <a:latin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d>
                                  <m:dPr>
                                    <m:ctrlP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6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600" b="0" i="1">
                                            <a:latin typeface="Cambria Math" panose="02040503050406030204" pitchFamily="18" charset="0"/>
                                          </a:rPr>
                                          <m:t>𝐵</m:t>
                                        </m:r>
                                      </m:num>
                                      <m:den>
                                        <m:r>
                                          <a:rPr lang="es-ES" sz="1600" b="0" i="1">
                                            <a:latin typeface="Cambria Math" panose="02040503050406030204" pitchFamily="18" charset="0"/>
                                          </a:rPr>
                                          <m:t>𝐷</m:t>
                                        </m:r>
                                      </m:den>
                                    </m:f>
                                  </m:e>
                                </m:d>
                                <m:d>
                                  <m:dPr>
                                    <m:ctrlP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6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sSub>
                                          <m:sSubPr>
                                            <m:ctrlPr>
                                              <a:rPr lang="es-ES" sz="16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s-ES" sz="16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s-ES" sz="16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𝑥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s-ES" sz="16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𝑓</m:t>
                                                </m:r>
                                              </m:sub>
                                            </m:sSub>
                                          </m:e>
                                          <m:sub>
                                            <m:r>
                                              <a:rPr lang="es-ES" sz="1600" b="0" i="1">
                                                <a:latin typeface="Cambria Math" panose="02040503050406030204" pitchFamily="18" charset="0"/>
                                              </a:rPr>
                                              <m:t>𝐻𝐾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lang="es-ES" sz="16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ES" sz="1600" b="0" i="1">
                                                <a:latin typeface="Cambria Math" panose="02040503050406030204" pitchFamily="18" charset="0"/>
                                              </a:rPr>
                                              <m:t>𝑥</m:t>
                                            </m:r>
                                          </m:e>
                                          <m:sub>
                                            <m:sSub>
                                              <m:sSubPr>
                                                <m:ctrlPr>
                                                  <a:rPr lang="es-ES" sz="16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s-ES" sz="16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𝑓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s-ES" sz="1600" b="0" i="1">
                                                    <a:latin typeface="Cambria Math" panose="02040503050406030204" pitchFamily="18" charset="0"/>
                                                  </a:rPr>
                                                  <m:t>𝐿𝐾</m:t>
                                                </m:r>
                                              </m:sub>
                                            </m:sSub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  <m:sSup>
                                  <m:sSupPr>
                                    <m:ctrlP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s-ES" sz="16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f>
                                          <m:fPr>
                                            <m:ctrlPr>
                                              <a:rPr lang="es-ES" sz="16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fPr>
                                          <m:num>
                                            <m:sSub>
                                              <m:sSubPr>
                                                <m:ctrlPr>
                                                  <a:rPr lang="es-ES" sz="16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sSub>
                                                  <m:sSubPr>
                                                    <m:ctrlPr>
                                                      <a:rPr lang="es-ES" sz="1600" b="0" i="1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</m:ctrlPr>
                                                  </m:sSubPr>
                                                  <m:e>
                                                    <m:r>
                                                      <a:rPr lang="es-ES" sz="1600" b="0" i="1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𝑥</m:t>
                                                    </m:r>
                                                  </m:e>
                                                  <m:sub>
                                                    <m:r>
                                                      <a:rPr lang="es-ES" sz="1600" b="0" i="1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𝑏</m:t>
                                                    </m:r>
                                                  </m:sub>
                                                </m:sSub>
                                              </m:e>
                                              <m:sub>
                                                <m:r>
                                                  <a:rPr lang="es-ES" sz="16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𝐿𝐾</m:t>
                                                </m:r>
                                              </m:sub>
                                            </m:sSub>
                                          </m:num>
                                          <m:den>
                                            <m:sSub>
                                              <m:sSubPr>
                                                <m:ctrlPr>
                                                  <a:rPr lang="es-ES" sz="16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s-ES" sz="16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𝑥</m:t>
                                                </m:r>
                                              </m:e>
                                              <m:sub>
                                                <m:sSub>
                                                  <m:sSubPr>
                                                    <m:ctrlPr>
                                                      <a:rPr lang="es-ES" sz="1600" b="0" i="1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</m:ctrlPr>
                                                  </m:sSubPr>
                                                  <m:e>
                                                    <m:r>
                                                      <a:rPr lang="es-ES" sz="1600" b="0" i="1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𝑑</m:t>
                                                    </m:r>
                                                  </m:e>
                                                  <m:sub>
                                                    <m:r>
                                                      <a:rPr lang="es-ES" sz="1600" b="0" i="1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𝐻𝐾</m:t>
                                                    </m:r>
                                                  </m:sub>
                                                </m:sSub>
                                              </m:sub>
                                            </m:sSub>
                                          </m:den>
                                        </m:f>
                                      </m:e>
                                    </m:d>
                                  </m:e>
                                  <m:sup>
                                    <m:r>
                                      <a:rPr lang="es-E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0" name="CuadroTexto 49"/>
            <xdr:cNvSpPr txBox="1"/>
          </xdr:nvSpPr>
          <xdr:spPr>
            <a:xfrm>
              <a:off x="3717233" y="12755217"/>
              <a:ext cx="4147931" cy="6626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s-ES" sz="1600" b="0" i="0">
                  <a:latin typeface="Cambria Math" panose="02040503050406030204" pitchFamily="18" charset="0"/>
                </a:rPr>
                <a:t>log⁡〖[𝑁_𝑟/𝑁_𝑎 ]=0,206 log⁡[(𝐵/𝐷)(〖𝑥_𝑓〗_𝐻𝐾/𝑥_(𝑓_𝐿𝐾 ) ) </a:t>
              </a:r>
              <a:r>
                <a:rPr lang="es-ES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(〖𝑥_𝑏〗_𝐿𝐾/𝑥_(𝑑_𝐻𝐾 ) )</a:t>
              </a:r>
              <a:r>
                <a:rPr lang="es-E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s-ES" sz="1600" b="0" i="0">
                  <a:latin typeface="Cambria Math" panose="02040503050406030204" pitchFamily="18" charset="0"/>
                </a:rPr>
                <a:t>2 ] 〗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205407</xdr:colOff>
      <xdr:row>72</xdr:row>
      <xdr:rowOff>165652</xdr:rowOff>
    </xdr:from>
    <xdr:ext cx="1633139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/>
            <xdr:cNvSpPr txBox="1"/>
          </xdr:nvSpPr>
          <xdr:spPr>
            <a:xfrm>
              <a:off x="3995529" y="13636487"/>
              <a:ext cx="163313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6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s-ES" sz="16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</m:sSub>
                    <m:r>
                      <a:rPr lang="es-ES" sz="1600" b="0" i="1">
                        <a:latin typeface="Cambria Math" panose="02040503050406030204" pitchFamily="18" charset="0"/>
                      </a:rPr>
                      <m:t>     </m:t>
                    </m:r>
                    <m:r>
                      <a:rPr lang="es-E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3995529" y="13636487"/>
              <a:ext cx="163313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600" b="0" i="0">
                  <a:latin typeface="Cambria Math" panose="02040503050406030204" pitchFamily="18" charset="0"/>
                </a:rPr>
                <a:t>𝑁=𝑁_𝑟+𝑁_𝑎      </a:t>
              </a:r>
              <a:r>
                <a:rPr lang="es-E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6</xdr:col>
      <xdr:colOff>371060</xdr:colOff>
      <xdr:row>72</xdr:row>
      <xdr:rowOff>165652</xdr:rowOff>
    </xdr:from>
    <xdr:ext cx="1178208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/>
            <xdr:cNvSpPr txBox="1"/>
          </xdr:nvSpPr>
          <xdr:spPr>
            <a:xfrm>
              <a:off x="5724938" y="13636487"/>
              <a:ext cx="1178208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</m:sSub>
                    <m:r>
                      <a:rPr lang="es-ES" sz="16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6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5724938" y="13636487"/>
              <a:ext cx="1178208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600" b="0" i="0">
                  <a:latin typeface="Cambria Math" panose="02040503050406030204" pitchFamily="18" charset="0"/>
                </a:rPr>
                <a:t>𝑁_𝑎=𝑁−𝑁_𝑟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225286</xdr:colOff>
      <xdr:row>74</xdr:row>
      <xdr:rowOff>278295</xdr:rowOff>
    </xdr:from>
    <xdr:ext cx="3590406" cy="902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/>
            <xdr:cNvSpPr txBox="1"/>
          </xdr:nvSpPr>
          <xdr:spPr>
            <a:xfrm>
              <a:off x="4015408" y="14120191"/>
              <a:ext cx="3590406" cy="902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den>
                    </m:f>
                    <m:r>
                      <a:rPr lang="es-E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b>
                        </m:sSub>
                      </m:num>
                      <m:den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𝑁𝑟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  <m:r>
                      <a:rPr lang="es-ES" sz="1600" b="0" i="1">
                        <a:latin typeface="Cambria Math" panose="02040503050406030204" pitchFamily="18" charset="0"/>
                      </a:rPr>
                      <m:t>          </m:t>
                    </m:r>
                    <m:r>
                      <a:rPr lang="es-E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       </m:t>
                    </m:r>
                    <m:sSub>
                      <m:sSubPr>
                        <m:ctrlP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</m:t>
                        </m:r>
                      </m:sub>
                    </m:sSub>
                    <m:r>
                      <a:rPr lang="es-E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</m:t>
                        </m:r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f>
                          <m:f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den>
                        </m:f>
                      </m:num>
                      <m:den>
                        <m:f>
                          <m:f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den>
                        </m:f>
                        <m:r>
                          <a:rPr lang="es-E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+1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4015408" y="14120191"/>
              <a:ext cx="3590406" cy="902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600" b="0" i="0">
                  <a:latin typeface="Cambria Math" panose="02040503050406030204" pitchFamily="18" charset="0"/>
                </a:rPr>
                <a:t>𝑁_𝑟/𝑁_𝑎 =𝑁_𝑟/((𝑁−𝑁𝑟))           </a:t>
              </a:r>
              <a:r>
                <a:rPr lang="es-E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→       𝑁_𝑎=(𝑁∙𝑁_𝑟/𝑁_𝑎 )/(𝑁_𝑟/𝑁_𝑎 +1)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1324223</xdr:colOff>
      <xdr:row>77</xdr:row>
      <xdr:rowOff>7620</xdr:rowOff>
    </xdr:from>
    <xdr:ext cx="350481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/>
            <xdr:cNvSpPr txBox="1"/>
          </xdr:nvSpPr>
          <xdr:spPr>
            <a:xfrm>
              <a:off x="1933823" y="14975950"/>
              <a:ext cx="350481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≈</m:t>
                    </m:r>
                  </m:oMath>
                </m:oMathPara>
              </a14:m>
              <a:endParaRPr lang="es-E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1933823" y="14975950"/>
              <a:ext cx="350481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≈</a:t>
              </a:r>
              <a:endParaRPr lang="es-ES" sz="1100" b="0"/>
            </a:p>
            <a:p>
              <a:endParaRPr lang="en-US" sz="1100"/>
            </a:p>
          </xdr:txBody>
        </xdr:sp>
      </mc:Fallback>
    </mc:AlternateContent>
    <xdr:clientData/>
  </xdr:oneCellAnchor>
  <xdr:twoCellAnchor>
    <xdr:from>
      <xdr:col>13</xdr:col>
      <xdr:colOff>709654</xdr:colOff>
      <xdr:row>7</xdr:row>
      <xdr:rowOff>147428</xdr:rowOff>
    </xdr:from>
    <xdr:to>
      <xdr:col>14</xdr:col>
      <xdr:colOff>557254</xdr:colOff>
      <xdr:row>9</xdr:row>
      <xdr:rowOff>151074</xdr:rowOff>
    </xdr:to>
    <xdr:sp macro="" textlink="">
      <xdr:nvSpPr>
        <xdr:cNvPr id="57" name="Triángulo isósceles 56">
          <a:hlinkClick xmlns:r="http://schemas.openxmlformats.org/officeDocument/2006/relationships" r:id="rId1"/>
        </xdr:cNvPr>
        <xdr:cNvSpPr/>
      </xdr:nvSpPr>
      <xdr:spPr>
        <a:xfrm rot="10800000">
          <a:off x="11651974" y="1435208"/>
          <a:ext cx="632460" cy="392266"/>
        </a:xfrm>
        <a:prstGeom prst="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705679</xdr:colOff>
      <xdr:row>11</xdr:row>
      <xdr:rowOff>72887</xdr:rowOff>
    </xdr:from>
    <xdr:to>
      <xdr:col>14</xdr:col>
      <xdr:colOff>559905</xdr:colOff>
      <xdr:row>16</xdr:row>
      <xdr:rowOff>19877</xdr:rowOff>
    </xdr:to>
    <xdr:sp macro="" textlink="">
      <xdr:nvSpPr>
        <xdr:cNvPr id="60" name="Flecha a la derecha con bandas 59">
          <a:hlinkClick xmlns:r="http://schemas.openxmlformats.org/officeDocument/2006/relationships" r:id="rId2"/>
        </xdr:cNvPr>
        <xdr:cNvSpPr/>
      </xdr:nvSpPr>
      <xdr:spPr>
        <a:xfrm rot="16200000" flipH="1">
          <a:off x="9935819" y="2266121"/>
          <a:ext cx="874642" cy="636104"/>
        </a:xfrm>
        <a:prstGeom prst="stripedRightArrow">
          <a:avLst>
            <a:gd name="adj1" fmla="val 39583"/>
            <a:gd name="adj2" fmla="val 50000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153393</xdr:colOff>
      <xdr:row>26</xdr:row>
      <xdr:rowOff>47068</xdr:rowOff>
    </xdr:from>
    <xdr:to>
      <xdr:col>11</xdr:col>
      <xdr:colOff>993</xdr:colOff>
      <xdr:row>28</xdr:row>
      <xdr:rowOff>76556</xdr:rowOff>
    </xdr:to>
    <xdr:sp macro="" textlink="">
      <xdr:nvSpPr>
        <xdr:cNvPr id="61" name="Triángulo isósceles 60">
          <a:hlinkClick xmlns:r="http://schemas.openxmlformats.org/officeDocument/2006/relationships" r:id="rId3"/>
        </xdr:cNvPr>
        <xdr:cNvSpPr/>
      </xdr:nvSpPr>
      <xdr:spPr>
        <a:xfrm>
          <a:off x="8741133" y="4878148"/>
          <a:ext cx="632460" cy="395248"/>
        </a:xfrm>
        <a:prstGeom prst="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155380</xdr:colOff>
      <xdr:row>30</xdr:row>
      <xdr:rowOff>26194</xdr:rowOff>
    </xdr:from>
    <xdr:to>
      <xdr:col>11</xdr:col>
      <xdr:colOff>2980</xdr:colOff>
      <xdr:row>32</xdr:row>
      <xdr:rowOff>52700</xdr:rowOff>
    </xdr:to>
    <xdr:sp macro="" textlink="">
      <xdr:nvSpPr>
        <xdr:cNvPr id="62" name="Triángulo isósceles 61">
          <a:hlinkClick xmlns:r="http://schemas.openxmlformats.org/officeDocument/2006/relationships" r:id="rId4"/>
        </xdr:cNvPr>
        <xdr:cNvSpPr/>
      </xdr:nvSpPr>
      <xdr:spPr>
        <a:xfrm rot="10800000">
          <a:off x="8743120" y="5588794"/>
          <a:ext cx="632460" cy="392266"/>
        </a:xfrm>
        <a:prstGeom prst="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121920</xdr:colOff>
      <xdr:row>20</xdr:row>
      <xdr:rowOff>166007</xdr:rowOff>
    </xdr:from>
    <xdr:to>
      <xdr:col>10</xdr:col>
      <xdr:colOff>761006</xdr:colOff>
      <xdr:row>25</xdr:row>
      <xdr:rowOff>79535</xdr:rowOff>
    </xdr:to>
    <xdr:sp macro="" textlink="">
      <xdr:nvSpPr>
        <xdr:cNvPr id="63" name="Flecha a la derecha con bandas 62">
          <a:hlinkClick xmlns:r="http://schemas.openxmlformats.org/officeDocument/2006/relationships" r:id="rId3"/>
        </xdr:cNvPr>
        <xdr:cNvSpPr/>
      </xdr:nvSpPr>
      <xdr:spPr>
        <a:xfrm rot="5400000" flipH="1">
          <a:off x="8596189" y="3975178"/>
          <a:ext cx="866028" cy="639086"/>
        </a:xfrm>
        <a:prstGeom prst="stripedRightArrow">
          <a:avLst>
            <a:gd name="adj1" fmla="val 39583"/>
            <a:gd name="adj2" fmla="val 50000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229593</xdr:colOff>
      <xdr:row>49</xdr:row>
      <xdr:rowOff>31828</xdr:rowOff>
    </xdr:from>
    <xdr:to>
      <xdr:col>11</xdr:col>
      <xdr:colOff>77193</xdr:colOff>
      <xdr:row>51</xdr:row>
      <xdr:rowOff>84176</xdr:rowOff>
    </xdr:to>
    <xdr:sp macro="" textlink="">
      <xdr:nvSpPr>
        <xdr:cNvPr id="65" name="Triángulo isósceles 64">
          <a:hlinkClick xmlns:r="http://schemas.openxmlformats.org/officeDocument/2006/relationships" r:id="rId5"/>
        </xdr:cNvPr>
        <xdr:cNvSpPr/>
      </xdr:nvSpPr>
      <xdr:spPr>
        <a:xfrm>
          <a:off x="8817333" y="9130108"/>
          <a:ext cx="632460" cy="395248"/>
        </a:xfrm>
        <a:prstGeom prst="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231580</xdr:colOff>
      <xdr:row>53</xdr:row>
      <xdr:rowOff>33814</xdr:rowOff>
    </xdr:from>
    <xdr:to>
      <xdr:col>11</xdr:col>
      <xdr:colOff>79180</xdr:colOff>
      <xdr:row>55</xdr:row>
      <xdr:rowOff>60320</xdr:rowOff>
    </xdr:to>
    <xdr:sp macro="" textlink="">
      <xdr:nvSpPr>
        <xdr:cNvPr id="66" name="Triángulo isósceles 65">
          <a:hlinkClick xmlns:r="http://schemas.openxmlformats.org/officeDocument/2006/relationships" r:id="rId6"/>
        </xdr:cNvPr>
        <xdr:cNvSpPr/>
      </xdr:nvSpPr>
      <xdr:spPr>
        <a:xfrm rot="10800000">
          <a:off x="8819320" y="9840754"/>
          <a:ext cx="632460" cy="392266"/>
        </a:xfrm>
        <a:prstGeom prst="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198120</xdr:colOff>
      <xdr:row>43</xdr:row>
      <xdr:rowOff>135527</xdr:rowOff>
    </xdr:from>
    <xdr:to>
      <xdr:col>11</xdr:col>
      <xdr:colOff>52346</xdr:colOff>
      <xdr:row>48</xdr:row>
      <xdr:rowOff>79535</xdr:rowOff>
    </xdr:to>
    <xdr:sp macro="" textlink="">
      <xdr:nvSpPr>
        <xdr:cNvPr id="67" name="Flecha a la derecha con bandas 66">
          <a:hlinkClick xmlns:r="http://schemas.openxmlformats.org/officeDocument/2006/relationships" r:id="rId3"/>
        </xdr:cNvPr>
        <xdr:cNvSpPr/>
      </xdr:nvSpPr>
      <xdr:spPr>
        <a:xfrm rot="5400000" flipH="1">
          <a:off x="8672389" y="8227138"/>
          <a:ext cx="866028" cy="639086"/>
        </a:xfrm>
        <a:prstGeom prst="stripedRightArrow">
          <a:avLst>
            <a:gd name="adj1" fmla="val 39583"/>
            <a:gd name="adj2" fmla="val 50000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275313</xdr:colOff>
      <xdr:row>73</xdr:row>
      <xdr:rowOff>119805</xdr:rowOff>
    </xdr:from>
    <xdr:to>
      <xdr:col>11</xdr:col>
      <xdr:colOff>122913</xdr:colOff>
      <xdr:row>74</xdr:row>
      <xdr:rowOff>325246</xdr:rowOff>
    </xdr:to>
    <xdr:sp macro="" textlink="">
      <xdr:nvSpPr>
        <xdr:cNvPr id="69" name="Triángulo isósceles 68">
          <a:hlinkClick xmlns:r="http://schemas.openxmlformats.org/officeDocument/2006/relationships" r:id="rId7"/>
        </xdr:cNvPr>
        <xdr:cNvSpPr/>
      </xdr:nvSpPr>
      <xdr:spPr>
        <a:xfrm>
          <a:off x="10475722" y="14338032"/>
          <a:ext cx="730827" cy="395941"/>
        </a:xfrm>
        <a:prstGeom prst="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278476</xdr:colOff>
      <xdr:row>68</xdr:row>
      <xdr:rowOff>69718</xdr:rowOff>
    </xdr:from>
    <xdr:to>
      <xdr:col>11</xdr:col>
      <xdr:colOff>132702</xdr:colOff>
      <xdr:row>73</xdr:row>
      <xdr:rowOff>21346</xdr:rowOff>
    </xdr:to>
    <xdr:sp macro="" textlink="">
      <xdr:nvSpPr>
        <xdr:cNvPr id="70" name="Flecha a la derecha con bandas 69">
          <a:hlinkClick xmlns:r="http://schemas.openxmlformats.org/officeDocument/2006/relationships" r:id="rId3"/>
        </xdr:cNvPr>
        <xdr:cNvSpPr/>
      </xdr:nvSpPr>
      <xdr:spPr>
        <a:xfrm rot="5400000" flipH="1">
          <a:off x="10395548" y="13418782"/>
          <a:ext cx="904128" cy="737453"/>
        </a:xfrm>
        <a:prstGeom prst="stripedRightArrow">
          <a:avLst>
            <a:gd name="adj1" fmla="val 39583"/>
            <a:gd name="adj2" fmla="val 50000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79663</xdr:colOff>
      <xdr:row>82</xdr:row>
      <xdr:rowOff>22341</xdr:rowOff>
    </xdr:from>
    <xdr:to>
      <xdr:col>15</xdr:col>
      <xdr:colOff>317788</xdr:colOff>
      <xdr:row>85</xdr:row>
      <xdr:rowOff>50916</xdr:rowOff>
    </xdr:to>
    <xdr:sp macro="" textlink="">
      <xdr:nvSpPr>
        <xdr:cNvPr id="71" name="CuadroTexto 70"/>
        <xdr:cNvSpPr txBox="1"/>
      </xdr:nvSpPr>
      <xdr:spPr>
        <a:xfrm>
          <a:off x="79663" y="16526568"/>
          <a:ext cx="14265852" cy="600075"/>
        </a:xfrm>
        <a:prstGeom prst="rect">
          <a:avLst/>
        </a:prstGeom>
        <a:noFill/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VE" sz="2000">
              <a:latin typeface="Candara" panose="020E0502030303020204" pitchFamily="34" charset="0"/>
            </a:rPr>
            <a:t>Paso 5: Determinar el Diámetro de la torre de destilación</a:t>
          </a:r>
        </a:p>
      </xdr:txBody>
    </xdr:sp>
    <xdr:clientData/>
  </xdr:twoCellAnchor>
  <xdr:oneCellAnchor>
    <xdr:from>
      <xdr:col>4</xdr:col>
      <xdr:colOff>255640</xdr:colOff>
      <xdr:row>87</xdr:row>
      <xdr:rowOff>156502</xdr:rowOff>
    </xdr:from>
    <xdr:ext cx="2581732" cy="727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CuadroTexto 71"/>
            <xdr:cNvSpPr txBox="1"/>
          </xdr:nvSpPr>
          <xdr:spPr>
            <a:xfrm>
              <a:off x="5050985" y="17518278"/>
              <a:ext cx="2581732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VE" sz="16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VE" sz="16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∙22,4</m:t>
                            </m:r>
                            <m:d>
                              <m:dPr>
                                <m:ctrlP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  <m:t>273+</m:t>
                                </m:r>
                                <m: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</m:d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760</m:t>
                            </m:r>
                          </m:num>
                          <m:den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∙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∙3600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∙273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2" name="CuadroTexto 71"/>
            <xdr:cNvSpPr txBox="1"/>
          </xdr:nvSpPr>
          <xdr:spPr>
            <a:xfrm>
              <a:off x="5050985" y="17518278"/>
              <a:ext cx="2581732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600" b="0" i="0">
                  <a:latin typeface="Cambria Math" panose="02040503050406030204" pitchFamily="18" charset="0"/>
                </a:rPr>
                <a:t>𝐷=√((4𝑉∙22,4(273+𝑡)760)/(𝜋∙𝑢∙3600𝑝∙273))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732625</xdr:colOff>
      <xdr:row>93</xdr:row>
      <xdr:rowOff>129608</xdr:rowOff>
    </xdr:from>
    <xdr:ext cx="1380955" cy="727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2"/>
            <xdr:cNvSpPr txBox="1"/>
          </xdr:nvSpPr>
          <xdr:spPr>
            <a:xfrm>
              <a:off x="5527970" y="18634384"/>
              <a:ext cx="1380955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VE" sz="1600" b="0" i="1">
                        <a:latin typeface="Cambria Math" panose="02040503050406030204" pitchFamily="18" charset="0"/>
                      </a:rPr>
                      <m:t>𝑢</m:t>
                    </m:r>
                    <m:r>
                      <a:rPr lang="es-VE" sz="16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VE" sz="1600" b="0" i="1">
                        <a:latin typeface="Cambria Math" panose="02040503050406030204" pitchFamily="18" charset="0"/>
                      </a:rPr>
                      <m:t>𝐾</m:t>
                    </m:r>
                    <m:rad>
                      <m:radPr>
                        <m:degHide m:val="on"/>
                        <m:ctrlPr>
                          <a:rPr lang="es-VE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VE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  <m:t>𝜌</m:t>
                                </m:r>
                              </m:e>
                              <m:sub>
                                <m: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  <m:t>𝑙</m:t>
                                </m:r>
                              </m:sub>
                            </m:sSub>
                            <m:r>
                              <a:rPr lang="es-VE" sz="16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  <m:t>𝜌</m:t>
                                </m:r>
                              </m:e>
                              <m:sub>
                                <m: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  <m:t>𝜌</m:t>
                                </m:r>
                              </m:e>
                              <m:sub>
                                <m:r>
                                  <a:rPr lang="es-VE" sz="1600" b="0" i="1">
                                    <a:latin typeface="Cambria Math" panose="02040503050406030204" pitchFamily="18" charset="0"/>
                                  </a:rPr>
                                  <m:t>𝑙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3" name="CuadroTexto 72"/>
            <xdr:cNvSpPr txBox="1"/>
          </xdr:nvSpPr>
          <xdr:spPr>
            <a:xfrm>
              <a:off x="5527970" y="18634384"/>
              <a:ext cx="1380955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600" b="0" i="0">
                  <a:latin typeface="Cambria Math" panose="02040503050406030204" pitchFamily="18" charset="0"/>
                </a:rPr>
                <a:t>𝑢=𝐾√((𝜌_𝑙−𝜌_𝑔)/𝜌_𝑙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62907</xdr:colOff>
      <xdr:row>87</xdr:row>
      <xdr:rowOff>180569</xdr:rowOff>
    </xdr:from>
    <xdr:ext cx="2932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/>
            <xdr:cNvSpPr txBox="1"/>
          </xdr:nvSpPr>
          <xdr:spPr>
            <a:xfrm>
              <a:off x="739510" y="17542345"/>
              <a:ext cx="2932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V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𝜌</m:t>
                        </m:r>
                      </m:e>
                      <m:sub>
                        <m:r>
                          <a:rPr lang="es-V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VE" sz="110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39510" y="17542345"/>
              <a:ext cx="2932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V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𝜌_𝑙</a:t>
              </a:r>
              <a:r>
                <a:rPr lang="es-V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endParaRPr lang="es-VE" sz="1100"/>
            </a:p>
          </xdr:txBody>
        </xdr:sp>
      </mc:Fallback>
    </mc:AlternateContent>
    <xdr:clientData/>
  </xdr:oneCellAnchor>
  <xdr:oneCellAnchor>
    <xdr:from>
      <xdr:col>1</xdr:col>
      <xdr:colOff>31376</xdr:colOff>
      <xdr:row>88</xdr:row>
      <xdr:rowOff>181883</xdr:rowOff>
    </xdr:from>
    <xdr:ext cx="32611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/>
            <xdr:cNvSpPr txBox="1"/>
          </xdr:nvSpPr>
          <xdr:spPr>
            <a:xfrm>
              <a:off x="707979" y="17734159"/>
              <a:ext cx="32611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V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V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𝜌</m:t>
                        </m:r>
                      </m:e>
                      <m:sub>
                        <m:r>
                          <a:rPr lang="es-V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VE" sz="1100"/>
            </a:p>
          </xdr:txBody>
        </xdr:sp>
      </mc:Choice>
      <mc:Fallback xmlns="">
        <xdr:sp macro="" textlink="">
          <xdr:nvSpPr>
            <xdr:cNvPr id="74" name="CuadroTexto 73"/>
            <xdr:cNvSpPr txBox="1"/>
          </xdr:nvSpPr>
          <xdr:spPr>
            <a:xfrm>
              <a:off x="707979" y="17734159"/>
              <a:ext cx="32611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V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𝜌_</a:t>
              </a:r>
              <a:r>
                <a:rPr lang="es-V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𝑔=</a:t>
              </a:r>
              <a:endParaRPr lang="es-VE" sz="1100"/>
            </a:p>
          </xdr:txBody>
        </xdr:sp>
      </mc:Fallback>
    </mc:AlternateContent>
    <xdr:clientData/>
  </xdr:oneCellAnchor>
  <xdr:oneCellAnchor>
    <xdr:from>
      <xdr:col>1</xdr:col>
      <xdr:colOff>52552</xdr:colOff>
      <xdr:row>90</xdr:row>
      <xdr:rowOff>6569</xdr:rowOff>
    </xdr:from>
    <xdr:ext cx="26096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/>
            <xdr:cNvSpPr txBox="1"/>
          </xdr:nvSpPr>
          <xdr:spPr>
            <a:xfrm>
              <a:off x="729155" y="17939845"/>
              <a:ext cx="2609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𝑢</m:t>
                    </m:r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VE" sz="1100"/>
            </a:p>
          </xdr:txBody>
        </xdr:sp>
      </mc:Choice>
      <mc:Fallback xmlns="">
        <xdr:sp macro="" textlink="">
          <xdr:nvSpPr>
            <xdr:cNvPr id="75" name="CuadroTexto 74"/>
            <xdr:cNvSpPr txBox="1"/>
          </xdr:nvSpPr>
          <xdr:spPr>
            <a:xfrm>
              <a:off x="729155" y="17939845"/>
              <a:ext cx="2609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V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𝑢=</a:t>
              </a:r>
              <a:endParaRPr lang="es-VE" sz="1100"/>
            </a:p>
          </xdr:txBody>
        </xdr:sp>
      </mc:Fallback>
    </mc:AlternateContent>
    <xdr:clientData/>
  </xdr:oneCellAnchor>
  <xdr:oneCellAnchor>
    <xdr:from>
      <xdr:col>1</xdr:col>
      <xdr:colOff>72259</xdr:colOff>
      <xdr:row>91</xdr:row>
      <xdr:rowOff>13138</xdr:rowOff>
    </xdr:from>
    <xdr:ext cx="2355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/>
            <xdr:cNvSpPr txBox="1"/>
          </xdr:nvSpPr>
          <xdr:spPr>
            <a:xfrm>
              <a:off x="748862" y="18136914"/>
              <a:ext cx="2355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VE" sz="1100"/>
            </a:p>
          </xdr:txBody>
        </xdr:sp>
      </mc:Choice>
      <mc:Fallback xmlns="">
        <xdr:sp macro="" textlink="">
          <xdr:nvSpPr>
            <xdr:cNvPr id="76" name="CuadroTexto 75"/>
            <xdr:cNvSpPr txBox="1"/>
          </xdr:nvSpPr>
          <xdr:spPr>
            <a:xfrm>
              <a:off x="748862" y="18136914"/>
              <a:ext cx="2355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V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𝑡=</a:t>
              </a:r>
              <a:endParaRPr lang="es-VE" sz="1100"/>
            </a:p>
          </xdr:txBody>
        </xdr:sp>
      </mc:Fallback>
    </mc:AlternateContent>
    <xdr:clientData/>
  </xdr:oneCellAnchor>
  <xdr:oneCellAnchor>
    <xdr:from>
      <xdr:col>1</xdr:col>
      <xdr:colOff>67004</xdr:colOff>
      <xdr:row>92</xdr:row>
      <xdr:rowOff>14452</xdr:rowOff>
    </xdr:from>
    <xdr:ext cx="2568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/>
            <xdr:cNvSpPr txBox="1"/>
          </xdr:nvSpPr>
          <xdr:spPr>
            <a:xfrm>
              <a:off x="743607" y="18328728"/>
              <a:ext cx="2568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𝑝</m:t>
                    </m:r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VE" sz="1100"/>
            </a:p>
          </xdr:txBody>
        </xdr:sp>
      </mc:Choice>
      <mc:Fallback xmlns="">
        <xdr:sp macro="" textlink="">
          <xdr:nvSpPr>
            <xdr:cNvPr id="77" name="CuadroTexto 76"/>
            <xdr:cNvSpPr txBox="1"/>
          </xdr:nvSpPr>
          <xdr:spPr>
            <a:xfrm>
              <a:off x="743607" y="18328728"/>
              <a:ext cx="2568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V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𝑝=</a:t>
              </a:r>
              <a:endParaRPr lang="es-VE" sz="1100"/>
            </a:p>
          </xdr:txBody>
        </xdr:sp>
      </mc:Fallback>
    </mc:AlternateContent>
    <xdr:clientData/>
  </xdr:oneCellAnchor>
  <xdr:oneCellAnchor>
    <xdr:from>
      <xdr:col>1</xdr:col>
      <xdr:colOff>21021</xdr:colOff>
      <xdr:row>95</xdr:row>
      <xdr:rowOff>7883</xdr:rowOff>
    </xdr:from>
    <xdr:ext cx="2792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/>
            <xdr:cNvSpPr txBox="1"/>
          </xdr:nvSpPr>
          <xdr:spPr>
            <a:xfrm>
              <a:off x="697624" y="18893659"/>
              <a:ext cx="279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VE" sz="1100"/>
            </a:p>
          </xdr:txBody>
        </xdr:sp>
      </mc:Choice>
      <mc:Fallback xmlns="">
        <xdr:sp macro="" textlink="">
          <xdr:nvSpPr>
            <xdr:cNvPr id="78" name="CuadroTexto 77"/>
            <xdr:cNvSpPr txBox="1"/>
          </xdr:nvSpPr>
          <xdr:spPr>
            <a:xfrm>
              <a:off x="697624" y="18893659"/>
              <a:ext cx="279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V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𝐾=</a:t>
              </a:r>
              <a:endParaRPr lang="es-VE" sz="1100"/>
            </a:p>
          </xdr:txBody>
        </xdr:sp>
      </mc:Fallback>
    </mc:AlternateContent>
    <xdr:clientData/>
  </xdr:oneCellAnchor>
  <xdr:oneCellAnchor>
    <xdr:from>
      <xdr:col>1</xdr:col>
      <xdr:colOff>22335</xdr:colOff>
      <xdr:row>96</xdr:row>
      <xdr:rowOff>9197</xdr:rowOff>
    </xdr:from>
    <xdr:ext cx="2691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uadroTexto 78"/>
            <xdr:cNvSpPr txBox="1"/>
          </xdr:nvSpPr>
          <xdr:spPr>
            <a:xfrm>
              <a:off x="698938" y="19085473"/>
              <a:ext cx="2691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𝑉</m:t>
                    </m:r>
                    <m:r>
                      <a:rPr lang="es-V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VE" sz="1100"/>
            </a:p>
          </xdr:txBody>
        </xdr:sp>
      </mc:Choice>
      <mc:Fallback xmlns="">
        <xdr:sp macro="" textlink="">
          <xdr:nvSpPr>
            <xdr:cNvPr id="79" name="CuadroTexto 78"/>
            <xdr:cNvSpPr txBox="1"/>
          </xdr:nvSpPr>
          <xdr:spPr>
            <a:xfrm>
              <a:off x="698938" y="19085473"/>
              <a:ext cx="2691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V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𝑉=</a:t>
              </a:r>
              <a:endParaRPr lang="es-VE" sz="1100"/>
            </a:p>
          </xdr:txBody>
        </xdr:sp>
      </mc:Fallback>
    </mc:AlternateContent>
    <xdr:clientData/>
  </xdr:oneCellAnchor>
  <xdr:twoCellAnchor>
    <xdr:from>
      <xdr:col>10</xdr:col>
      <xdr:colOff>259774</xdr:colOff>
      <xdr:row>77</xdr:row>
      <xdr:rowOff>1</xdr:rowOff>
    </xdr:from>
    <xdr:to>
      <xdr:col>11</xdr:col>
      <xdr:colOff>114000</xdr:colOff>
      <xdr:row>81</xdr:row>
      <xdr:rowOff>120173</xdr:rowOff>
    </xdr:to>
    <xdr:sp macro="" textlink="">
      <xdr:nvSpPr>
        <xdr:cNvPr id="81" name="Flecha a la derecha con bandas 80">
          <a:hlinkClick xmlns:r="http://schemas.openxmlformats.org/officeDocument/2006/relationships" r:id="rId2"/>
        </xdr:cNvPr>
        <xdr:cNvSpPr/>
      </xdr:nvSpPr>
      <xdr:spPr>
        <a:xfrm rot="16200000" flipH="1">
          <a:off x="10379165" y="15615428"/>
          <a:ext cx="899490" cy="737453"/>
        </a:xfrm>
        <a:prstGeom prst="stripedRightArrow">
          <a:avLst>
            <a:gd name="adj1" fmla="val 39583"/>
            <a:gd name="adj2" fmla="val 50000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207819</xdr:colOff>
      <xdr:row>56</xdr:row>
      <xdr:rowOff>103910</xdr:rowOff>
    </xdr:from>
    <xdr:to>
      <xdr:col>11</xdr:col>
      <xdr:colOff>62045</xdr:colOff>
      <xdr:row>61</xdr:row>
      <xdr:rowOff>16264</xdr:rowOff>
    </xdr:to>
    <xdr:sp macro="" textlink="">
      <xdr:nvSpPr>
        <xdr:cNvPr id="82" name="Flecha a la derecha con bandas 81">
          <a:hlinkClick xmlns:r="http://schemas.openxmlformats.org/officeDocument/2006/relationships" r:id="rId2"/>
        </xdr:cNvPr>
        <xdr:cNvSpPr/>
      </xdr:nvSpPr>
      <xdr:spPr>
        <a:xfrm rot="16200000" flipH="1">
          <a:off x="10327210" y="11112701"/>
          <a:ext cx="899490" cy="737453"/>
        </a:xfrm>
        <a:prstGeom prst="stripedRightArrow">
          <a:avLst>
            <a:gd name="adj1" fmla="val 39583"/>
            <a:gd name="adj2" fmla="val 50000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173183</xdr:colOff>
      <xdr:row>34</xdr:row>
      <xdr:rowOff>51956</xdr:rowOff>
    </xdr:from>
    <xdr:to>
      <xdr:col>11</xdr:col>
      <xdr:colOff>27409</xdr:colOff>
      <xdr:row>38</xdr:row>
      <xdr:rowOff>102855</xdr:rowOff>
    </xdr:to>
    <xdr:sp macro="" textlink="">
      <xdr:nvSpPr>
        <xdr:cNvPr id="83" name="Flecha a la derecha con bandas 82">
          <a:hlinkClick xmlns:r="http://schemas.openxmlformats.org/officeDocument/2006/relationships" r:id="rId2"/>
        </xdr:cNvPr>
        <xdr:cNvSpPr/>
      </xdr:nvSpPr>
      <xdr:spPr>
        <a:xfrm rot="16200000" flipH="1">
          <a:off x="10292574" y="6765838"/>
          <a:ext cx="899490" cy="737453"/>
        </a:xfrm>
        <a:prstGeom prst="stripedRightArrow">
          <a:avLst>
            <a:gd name="adj1" fmla="val 39583"/>
            <a:gd name="adj2" fmla="val 50000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294409</xdr:colOff>
      <xdr:row>75</xdr:row>
      <xdr:rowOff>138545</xdr:rowOff>
    </xdr:from>
    <xdr:to>
      <xdr:col>11</xdr:col>
      <xdr:colOff>142009</xdr:colOff>
      <xdr:row>76</xdr:row>
      <xdr:rowOff>61142</xdr:rowOff>
    </xdr:to>
    <xdr:sp macro="" textlink="">
      <xdr:nvSpPr>
        <xdr:cNvPr id="84" name="Triángulo isósceles 83">
          <a:hlinkClick xmlns:r="http://schemas.openxmlformats.org/officeDocument/2006/relationships" r:id="rId2"/>
        </xdr:cNvPr>
        <xdr:cNvSpPr/>
      </xdr:nvSpPr>
      <xdr:spPr>
        <a:xfrm rot="10800000">
          <a:off x="10494818" y="14997545"/>
          <a:ext cx="730827" cy="407506"/>
        </a:xfrm>
        <a:prstGeom prst="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289167</xdr:colOff>
      <xdr:row>91</xdr:row>
      <xdr:rowOff>47069</xdr:rowOff>
    </xdr:from>
    <xdr:to>
      <xdr:col>11</xdr:col>
      <xdr:colOff>136767</xdr:colOff>
      <xdr:row>93</xdr:row>
      <xdr:rowOff>62010</xdr:rowOff>
    </xdr:to>
    <xdr:sp macro="" textlink="">
      <xdr:nvSpPr>
        <xdr:cNvPr id="85" name="Triángulo isósceles 84">
          <a:hlinkClick xmlns:r="http://schemas.openxmlformats.org/officeDocument/2006/relationships" r:id="rId8"/>
        </xdr:cNvPr>
        <xdr:cNvSpPr/>
      </xdr:nvSpPr>
      <xdr:spPr>
        <a:xfrm>
          <a:off x="10489576" y="18283114"/>
          <a:ext cx="730827" cy="395941"/>
        </a:xfrm>
        <a:prstGeom prst="triangl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292330</xdr:colOff>
      <xdr:row>86</xdr:row>
      <xdr:rowOff>14300</xdr:rowOff>
    </xdr:from>
    <xdr:to>
      <xdr:col>11</xdr:col>
      <xdr:colOff>146556</xdr:colOff>
      <xdr:row>90</xdr:row>
      <xdr:rowOff>139110</xdr:rowOff>
    </xdr:to>
    <xdr:sp macro="" textlink="">
      <xdr:nvSpPr>
        <xdr:cNvPr id="86" name="Flecha a la derecha con bandas 85">
          <a:hlinkClick xmlns:r="http://schemas.openxmlformats.org/officeDocument/2006/relationships" r:id="rId3"/>
        </xdr:cNvPr>
        <xdr:cNvSpPr/>
      </xdr:nvSpPr>
      <xdr:spPr>
        <a:xfrm rot="5400000" flipH="1">
          <a:off x="10409402" y="17363864"/>
          <a:ext cx="904128" cy="737453"/>
        </a:xfrm>
        <a:prstGeom prst="stripedRightArrow">
          <a:avLst>
            <a:gd name="adj1" fmla="val 39583"/>
            <a:gd name="adj2" fmla="val 50000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400050</xdr:colOff>
      <xdr:row>3</xdr:row>
      <xdr:rowOff>152400</xdr:rowOff>
    </xdr:from>
    <xdr:to>
      <xdr:col>16</xdr:col>
      <xdr:colOff>533400</xdr:colOff>
      <xdr:row>8</xdr:row>
      <xdr:rowOff>19050</xdr:rowOff>
    </xdr:to>
    <xdr:sp macro="" textlink="">
      <xdr:nvSpPr>
        <xdr:cNvPr id="30" name="Flecha derecha 29">
          <a:hlinkClick xmlns:r="http://schemas.openxmlformats.org/officeDocument/2006/relationships" r:id="rId9"/>
        </xdr:cNvPr>
        <xdr:cNvSpPr/>
      </xdr:nvSpPr>
      <xdr:spPr>
        <a:xfrm>
          <a:off x="14077950" y="723900"/>
          <a:ext cx="1885950" cy="838200"/>
        </a:xfrm>
        <a:prstGeom prst="rightArrow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600">
              <a:solidFill>
                <a:sysClr val="windowText" lastClr="000000"/>
              </a:solidFill>
              <a:latin typeface="Candara" panose="020E0502030303020204" pitchFamily="34" charset="0"/>
            </a:rPr>
            <a:t>FINAL</a:t>
          </a:r>
        </a:p>
      </xdr:txBody>
    </xdr:sp>
    <xdr:clientData/>
  </xdr:twoCellAnchor>
  <xdr:twoCellAnchor>
    <xdr:from>
      <xdr:col>11</xdr:col>
      <xdr:colOff>723900</xdr:colOff>
      <xdr:row>3</xdr:row>
      <xdr:rowOff>171450</xdr:rowOff>
    </xdr:from>
    <xdr:to>
      <xdr:col>13</xdr:col>
      <xdr:colOff>838200</xdr:colOff>
      <xdr:row>8</xdr:row>
      <xdr:rowOff>38100</xdr:rowOff>
    </xdr:to>
    <xdr:sp macro="" textlink="">
      <xdr:nvSpPr>
        <xdr:cNvPr id="80" name="Flecha derecha 79">
          <a:hlinkClick xmlns:r="http://schemas.openxmlformats.org/officeDocument/2006/relationships" r:id="rId10"/>
        </xdr:cNvPr>
        <xdr:cNvSpPr/>
      </xdr:nvSpPr>
      <xdr:spPr>
        <a:xfrm flipH="1">
          <a:off x="11772900" y="742950"/>
          <a:ext cx="1866900" cy="838200"/>
        </a:xfrm>
        <a:prstGeom prst="rightArrow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600">
              <a:solidFill>
                <a:sysClr val="windowText" lastClr="000000"/>
              </a:solidFill>
              <a:latin typeface="Candara" panose="020E0502030303020204" pitchFamily="34" charset="0"/>
            </a:rPr>
            <a:t>Parametrización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548641</xdr:colOff>
      <xdr:row>1</xdr:row>
      <xdr:rowOff>83820</xdr:rowOff>
    </xdr:from>
    <xdr:to>
      <xdr:col>9</xdr:col>
      <xdr:colOff>670560</xdr:colOff>
      <xdr:row>28</xdr:row>
      <xdr:rowOff>76795</xdr:rowOff>
    </xdr:to>
    <xdr:grpSp>
      <xdr:nvGrpSpPr>
        <xdr:cNvPr id="2" name="Grupo 1"/>
        <xdr:cNvGrpSpPr/>
      </xdr:nvGrpSpPr>
      <xdr:grpSpPr>
        <a:xfrm>
          <a:off x="2961641" y="290195"/>
          <a:ext cx="4487544" cy="5755600"/>
          <a:chOff x="4110679" y="91540"/>
          <a:chExt cx="5140325" cy="6411185"/>
        </a:xfrm>
      </xdr:grpSpPr>
      <xdr:grpSp>
        <xdr:nvGrpSpPr>
          <xdr:cNvPr id="3" name="Grupo 2"/>
          <xdr:cNvGrpSpPr/>
        </xdr:nvGrpSpPr>
        <xdr:grpSpPr>
          <a:xfrm>
            <a:off x="4110679" y="1054443"/>
            <a:ext cx="1482816" cy="5445210"/>
            <a:chOff x="4094203" y="494269"/>
            <a:chExt cx="1911185" cy="6079525"/>
          </a:xfrm>
        </xdr:grpSpPr>
        <xdr:sp macro="" textlink="">
          <xdr:nvSpPr>
            <xdr:cNvPr id="22" name="Rectángulo redondeado 21"/>
            <xdr:cNvSpPr/>
          </xdr:nvSpPr>
          <xdr:spPr>
            <a:xfrm rot="5400000">
              <a:off x="2010029" y="2578443"/>
              <a:ext cx="6079525" cy="1911178"/>
            </a:xfrm>
            <a:prstGeom prst="roundRect">
              <a:avLst>
                <a:gd name="adj" fmla="val 50000"/>
              </a:avLst>
            </a:prstGeom>
            <a:noFill/>
            <a:ln w="381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cxnSp macro="">
          <xdr:nvCxnSpPr>
            <xdr:cNvPr id="23" name="Conector angular 22"/>
            <xdr:cNvCxnSpPr/>
          </xdr:nvCxnSpPr>
          <xdr:spPr>
            <a:xfrm>
              <a:off x="4094203" y="1570775"/>
              <a:ext cx="782595" cy="271850"/>
            </a:xfrm>
            <a:prstGeom prst="bentConnector3">
              <a:avLst>
                <a:gd name="adj1" fmla="val 100953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Conector angular 23"/>
            <xdr:cNvCxnSpPr/>
          </xdr:nvCxnSpPr>
          <xdr:spPr>
            <a:xfrm rot="10800000" flipV="1">
              <a:off x="5224188" y="1872354"/>
              <a:ext cx="781200" cy="273600"/>
            </a:xfrm>
            <a:prstGeom prst="bentConnector3">
              <a:avLst>
                <a:gd name="adj1" fmla="val 97398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" name="Conector angular 24"/>
            <xdr:cNvCxnSpPr/>
          </xdr:nvCxnSpPr>
          <xdr:spPr>
            <a:xfrm>
              <a:off x="4094205" y="2261286"/>
              <a:ext cx="782596" cy="271849"/>
            </a:xfrm>
            <a:prstGeom prst="bentConnector3">
              <a:avLst>
                <a:gd name="adj1" fmla="val 95493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" name="Conector angular 25"/>
            <xdr:cNvCxnSpPr/>
          </xdr:nvCxnSpPr>
          <xdr:spPr>
            <a:xfrm>
              <a:off x="4094205" y="3080952"/>
              <a:ext cx="782596" cy="271849"/>
            </a:xfrm>
            <a:prstGeom prst="bentConnector3">
              <a:avLst>
                <a:gd name="adj1" fmla="val 100953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Conector angular 26"/>
            <xdr:cNvCxnSpPr/>
          </xdr:nvCxnSpPr>
          <xdr:spPr>
            <a:xfrm>
              <a:off x="4094203" y="3900617"/>
              <a:ext cx="782596" cy="271849"/>
            </a:xfrm>
            <a:prstGeom prst="bentConnector3">
              <a:avLst>
                <a:gd name="adj1" fmla="val 104592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Conector angular 27"/>
            <xdr:cNvCxnSpPr/>
          </xdr:nvCxnSpPr>
          <xdr:spPr>
            <a:xfrm>
              <a:off x="4094203" y="4720283"/>
              <a:ext cx="782596" cy="271849"/>
            </a:xfrm>
            <a:prstGeom prst="bentConnector3">
              <a:avLst>
                <a:gd name="adj1" fmla="val 97313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Conector angular 28"/>
            <xdr:cNvCxnSpPr/>
          </xdr:nvCxnSpPr>
          <xdr:spPr>
            <a:xfrm rot="10800000" flipV="1">
              <a:off x="5224188" y="2692018"/>
              <a:ext cx="781200" cy="273600"/>
            </a:xfrm>
            <a:prstGeom prst="bentConnector3">
              <a:avLst>
                <a:gd name="adj1" fmla="val 95575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Conector angular 29"/>
            <xdr:cNvCxnSpPr/>
          </xdr:nvCxnSpPr>
          <xdr:spPr>
            <a:xfrm rot="10800000" flipV="1">
              <a:off x="5224188" y="3397232"/>
              <a:ext cx="781200" cy="273600"/>
            </a:xfrm>
            <a:prstGeom prst="bentConnector3">
              <a:avLst>
                <a:gd name="adj1" fmla="val 97398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Conector angular 30"/>
            <xdr:cNvCxnSpPr/>
          </xdr:nvCxnSpPr>
          <xdr:spPr>
            <a:xfrm rot="10800000" flipV="1">
              <a:off x="5224188" y="4172466"/>
              <a:ext cx="781200" cy="273600"/>
            </a:xfrm>
            <a:prstGeom prst="bentConnector3">
              <a:avLst>
                <a:gd name="adj1" fmla="val 101044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Conector angular 31"/>
            <xdr:cNvCxnSpPr/>
          </xdr:nvCxnSpPr>
          <xdr:spPr>
            <a:xfrm rot="10800000" flipV="1">
              <a:off x="5224188" y="5099531"/>
              <a:ext cx="781200" cy="273600"/>
            </a:xfrm>
            <a:prstGeom prst="bentConnector3">
              <a:avLst>
                <a:gd name="adj1" fmla="val 99221"/>
              </a:avLst>
            </a:prstGeom>
            <a:ln w="381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Conector angular 3"/>
          <xdr:cNvCxnSpPr>
            <a:endCxn id="20" idx="2"/>
          </xdr:cNvCxnSpPr>
        </xdr:nvCxnSpPr>
        <xdr:spPr>
          <a:xfrm flipV="1">
            <a:off x="4852085" y="495193"/>
            <a:ext cx="1947831" cy="578503"/>
          </a:xfrm>
          <a:prstGeom prst="bentConnector3">
            <a:avLst>
              <a:gd name="adj1" fmla="val 50000"/>
            </a:avLst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5" name="Grupo 4"/>
          <xdr:cNvGrpSpPr/>
        </xdr:nvGrpSpPr>
        <xdr:grpSpPr>
          <a:xfrm>
            <a:off x="6670383" y="91540"/>
            <a:ext cx="799070" cy="807308"/>
            <a:chOff x="6670383" y="91540"/>
            <a:chExt cx="799070" cy="807308"/>
          </a:xfrm>
        </xdr:grpSpPr>
        <xdr:sp macro="" textlink="">
          <xdr:nvSpPr>
            <xdr:cNvPr id="20" name="Elipse 19"/>
            <xdr:cNvSpPr/>
          </xdr:nvSpPr>
          <xdr:spPr>
            <a:xfrm>
              <a:off x="6799917" y="225194"/>
              <a:ext cx="540000" cy="540000"/>
            </a:xfrm>
            <a:prstGeom prst="ellipse">
              <a:avLst/>
            </a:prstGeom>
            <a:noFill/>
            <a:ln w="381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cxnSp macro="">
          <xdr:nvCxnSpPr>
            <xdr:cNvPr id="21" name="Conector recto de flecha 20"/>
            <xdr:cNvCxnSpPr/>
          </xdr:nvCxnSpPr>
          <xdr:spPr>
            <a:xfrm flipH="1">
              <a:off x="6670383" y="91540"/>
              <a:ext cx="799070" cy="807308"/>
            </a:xfrm>
            <a:prstGeom prst="straightConnector1">
              <a:avLst/>
            </a:prstGeom>
            <a:ln w="38100"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" name="Conector angular 5"/>
          <xdr:cNvCxnSpPr>
            <a:stCxn id="20" idx="4"/>
            <a:endCxn id="7" idx="3"/>
          </xdr:cNvCxnSpPr>
        </xdr:nvCxnSpPr>
        <xdr:spPr>
          <a:xfrm rot="16200000" flipH="1">
            <a:off x="7353995" y="481116"/>
            <a:ext cx="869348" cy="1437502"/>
          </a:xfrm>
          <a:prstGeom prst="bentConnector4">
            <a:avLst>
              <a:gd name="adj1" fmla="val 36259"/>
              <a:gd name="adj2" fmla="val 123059"/>
            </a:avLst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Rectángulo redondeado 6"/>
          <xdr:cNvSpPr/>
        </xdr:nvSpPr>
        <xdr:spPr>
          <a:xfrm>
            <a:off x="6431484" y="1395637"/>
            <a:ext cx="2075935" cy="477807"/>
          </a:xfrm>
          <a:prstGeom prst="roundRect">
            <a:avLst>
              <a:gd name="adj" fmla="val 50000"/>
            </a:avLst>
          </a:prstGeom>
          <a:noFill/>
          <a:ln w="381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grpSp>
        <xdr:nvGrpSpPr>
          <xdr:cNvPr id="8" name="Grupo 7"/>
          <xdr:cNvGrpSpPr/>
        </xdr:nvGrpSpPr>
        <xdr:grpSpPr>
          <a:xfrm>
            <a:off x="7245895" y="2081807"/>
            <a:ext cx="447112" cy="461347"/>
            <a:chOff x="7245895" y="2081807"/>
            <a:chExt cx="447112" cy="461347"/>
          </a:xfrm>
        </xdr:grpSpPr>
        <xdr:sp macro="" textlink="">
          <xdr:nvSpPr>
            <xdr:cNvPr id="18" name="Elipse 17"/>
            <xdr:cNvSpPr/>
          </xdr:nvSpPr>
          <xdr:spPr>
            <a:xfrm>
              <a:off x="7289451" y="2081807"/>
              <a:ext cx="360000" cy="360000"/>
            </a:xfrm>
            <a:prstGeom prst="ellips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9" name="Rectángulo 18"/>
            <xdr:cNvSpPr/>
          </xdr:nvSpPr>
          <xdr:spPr>
            <a:xfrm>
              <a:off x="7245895" y="2441807"/>
              <a:ext cx="447112" cy="101347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xdr:cxnSp macro="">
        <xdr:nvCxnSpPr>
          <xdr:cNvPr id="9" name="Conector recto de flecha 8"/>
          <xdr:cNvCxnSpPr>
            <a:stCxn id="7" idx="2"/>
          </xdr:cNvCxnSpPr>
        </xdr:nvCxnSpPr>
        <xdr:spPr>
          <a:xfrm>
            <a:off x="7469453" y="1873444"/>
            <a:ext cx="0" cy="415300"/>
          </a:xfrm>
          <a:prstGeom prst="straightConnector1">
            <a:avLst/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Conector angular 9"/>
          <xdr:cNvCxnSpPr/>
        </xdr:nvCxnSpPr>
        <xdr:spPr>
          <a:xfrm rot="10800000">
            <a:off x="5593493" y="2024694"/>
            <a:ext cx="1875959" cy="237112"/>
          </a:xfrm>
          <a:prstGeom prst="bentConnector3">
            <a:avLst/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Conector recto de flecha 10"/>
          <xdr:cNvCxnSpPr>
            <a:stCxn id="20" idx="6"/>
          </xdr:cNvCxnSpPr>
        </xdr:nvCxnSpPr>
        <xdr:spPr>
          <a:xfrm>
            <a:off x="7339916" y="495193"/>
            <a:ext cx="1705231" cy="1"/>
          </a:xfrm>
          <a:prstGeom prst="straightConnector1">
            <a:avLst/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Conector angular 11"/>
          <xdr:cNvCxnSpPr>
            <a:stCxn id="22" idx="3"/>
            <a:endCxn id="16" idx="4"/>
          </xdr:cNvCxnSpPr>
        </xdr:nvCxnSpPr>
        <xdr:spPr>
          <a:xfrm rot="5400000" flipH="1" flipV="1">
            <a:off x="6095476" y="5125678"/>
            <a:ext cx="130584" cy="2617367"/>
          </a:xfrm>
          <a:prstGeom prst="bentConnector3">
            <a:avLst>
              <a:gd name="adj1" fmla="val -156120"/>
            </a:avLst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3" name="Grupo 12"/>
          <xdr:cNvGrpSpPr/>
        </xdr:nvGrpSpPr>
        <xdr:grpSpPr>
          <a:xfrm>
            <a:off x="7069917" y="5695417"/>
            <a:ext cx="799070" cy="807308"/>
            <a:chOff x="6670382" y="91541"/>
            <a:chExt cx="799070" cy="807308"/>
          </a:xfrm>
        </xdr:grpSpPr>
        <xdr:sp macro="" textlink="">
          <xdr:nvSpPr>
            <xdr:cNvPr id="16" name="Elipse 15"/>
            <xdr:cNvSpPr/>
          </xdr:nvSpPr>
          <xdr:spPr>
            <a:xfrm>
              <a:off x="6799917" y="225194"/>
              <a:ext cx="540000" cy="540000"/>
            </a:xfrm>
            <a:prstGeom prst="ellipse">
              <a:avLst/>
            </a:prstGeom>
            <a:noFill/>
            <a:ln w="381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cxnSp macro="">
          <xdr:nvCxnSpPr>
            <xdr:cNvPr id="17" name="Conector recto de flecha 16"/>
            <xdr:cNvCxnSpPr/>
          </xdr:nvCxnSpPr>
          <xdr:spPr>
            <a:xfrm flipV="1">
              <a:off x="6670382" y="91541"/>
              <a:ext cx="799070" cy="807308"/>
            </a:xfrm>
            <a:prstGeom prst="straightConnector1">
              <a:avLst/>
            </a:prstGeom>
            <a:ln w="38100"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" name="Conector angular 13"/>
          <xdr:cNvCxnSpPr>
            <a:stCxn id="16" idx="0"/>
          </xdr:cNvCxnSpPr>
        </xdr:nvCxnSpPr>
        <xdr:spPr>
          <a:xfrm rot="16200000" flipV="1">
            <a:off x="6434401" y="4794018"/>
            <a:ext cx="194143" cy="1875961"/>
          </a:xfrm>
          <a:prstGeom prst="bentConnector2">
            <a:avLst/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Conector recto de flecha 14"/>
          <xdr:cNvCxnSpPr>
            <a:stCxn id="16" idx="6"/>
          </xdr:cNvCxnSpPr>
        </xdr:nvCxnSpPr>
        <xdr:spPr>
          <a:xfrm>
            <a:off x="7739452" y="6099069"/>
            <a:ext cx="1511552" cy="0"/>
          </a:xfrm>
          <a:prstGeom prst="straightConnector1">
            <a:avLst/>
          </a:prstGeom>
          <a:ln w="3810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160020</xdr:colOff>
      <xdr:row>14</xdr:row>
      <xdr:rowOff>182880</xdr:rowOff>
    </xdr:from>
    <xdr:to>
      <xdr:col>2</xdr:col>
      <xdr:colOff>563880</xdr:colOff>
      <xdr:row>14</xdr:row>
      <xdr:rowOff>182880</xdr:rowOff>
    </xdr:to>
    <xdr:cxnSp macro="">
      <xdr:nvCxnSpPr>
        <xdr:cNvPr id="43" name="Conector recto de flecha 42"/>
        <xdr:cNvCxnSpPr/>
      </xdr:nvCxnSpPr>
      <xdr:spPr>
        <a:xfrm>
          <a:off x="160020" y="2819400"/>
          <a:ext cx="2583180" cy="0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6</xdr:row>
      <xdr:rowOff>60960</xdr:rowOff>
    </xdr:from>
    <xdr:to>
      <xdr:col>4</xdr:col>
      <xdr:colOff>205740</xdr:colOff>
      <xdr:row>7</xdr:row>
      <xdr:rowOff>91440</xdr:rowOff>
    </xdr:to>
    <xdr:sp macro="" textlink="">
      <xdr:nvSpPr>
        <xdr:cNvPr id="51" name="CuadroTexto 50"/>
        <xdr:cNvSpPr txBox="1"/>
      </xdr:nvSpPr>
      <xdr:spPr>
        <a:xfrm>
          <a:off x="2971800" y="1158240"/>
          <a:ext cx="815340" cy="213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andara" panose="020E0502030303020204" pitchFamily="34" charset="0"/>
            </a:rPr>
            <a:t>n° Etapas</a:t>
          </a:r>
        </a:p>
      </xdr:txBody>
    </xdr:sp>
    <xdr:clientData/>
  </xdr:twoCellAnchor>
  <xdr:twoCellAnchor>
    <xdr:from>
      <xdr:col>0</xdr:col>
      <xdr:colOff>198120</xdr:colOff>
      <xdr:row>1</xdr:row>
      <xdr:rowOff>129540</xdr:rowOff>
    </xdr:from>
    <xdr:to>
      <xdr:col>2</xdr:col>
      <xdr:colOff>297180</xdr:colOff>
      <xdr:row>10</xdr:row>
      <xdr:rowOff>160020</xdr:rowOff>
    </xdr:to>
    <xdr:sp macro="" textlink="">
      <xdr:nvSpPr>
        <xdr:cNvPr id="52" name="Rectángulo 51"/>
        <xdr:cNvSpPr/>
      </xdr:nvSpPr>
      <xdr:spPr>
        <a:xfrm>
          <a:off x="198120" y="312420"/>
          <a:ext cx="2278380" cy="1310640"/>
        </a:xfrm>
        <a:prstGeom prst="rect">
          <a:avLst/>
        </a:prstGeom>
        <a:noFill/>
        <a:ln w="107950" cmpd="tri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ysClr val="windowText" lastClr="000000"/>
              </a:solidFill>
              <a:latin typeface="Candara" panose="020E0502030303020204" pitchFamily="34" charset="0"/>
            </a:rPr>
            <a:t>Diseño</a:t>
          </a:r>
          <a:r>
            <a:rPr lang="en-US" sz="2400" baseline="0">
              <a:solidFill>
                <a:sysClr val="windowText" lastClr="000000"/>
              </a:solidFill>
              <a:latin typeface="Candara" panose="020E0502030303020204" pitchFamily="34" charset="0"/>
            </a:rPr>
            <a:t> Conceptual del Destilador</a:t>
          </a:r>
          <a:endParaRPr lang="en-US" sz="2400">
            <a:solidFill>
              <a:sysClr val="windowText" lastClr="000000"/>
            </a:solidFill>
            <a:latin typeface="Candara" panose="020E0502030303020204" pitchFamily="34" charset="0"/>
          </a:endParaRPr>
        </a:p>
      </xdr:txBody>
    </xdr:sp>
    <xdr:clientData/>
  </xdr:twoCellAnchor>
  <xdr:oneCellAnchor>
    <xdr:from>
      <xdr:col>10</xdr:col>
      <xdr:colOff>33130</xdr:colOff>
      <xdr:row>17</xdr:row>
      <xdr:rowOff>6624</xdr:rowOff>
    </xdr:from>
    <xdr:ext cx="3533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/>
            <xdr:cNvSpPr txBox="1"/>
          </xdr:nvSpPr>
          <xdr:spPr>
            <a:xfrm>
              <a:off x="642730" y="14614164"/>
              <a:ext cx="3533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𝑵</m:t>
                        </m:r>
                      </m:e>
                      <m:sub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𝒂</m:t>
                        </m:r>
                      </m:sub>
                    </m:sSub>
                    <m:r>
                      <a:rPr lang="es-ES" sz="1100" b="1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642730" y="14614164"/>
              <a:ext cx="3533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1" i="0">
                  <a:latin typeface="Cambria Math" panose="02040503050406030204" pitchFamily="18" charset="0"/>
                </a:rPr>
                <a:t>𝑵_𝒂=</a:t>
              </a:r>
              <a:endParaRPr lang="en-US" sz="1100" b="1"/>
            </a:p>
          </xdr:txBody>
        </xdr:sp>
      </mc:Fallback>
    </mc:AlternateContent>
    <xdr:clientData/>
  </xdr:oneCellAnchor>
  <xdr:oneCellAnchor>
    <xdr:from>
      <xdr:col>10</xdr:col>
      <xdr:colOff>39756</xdr:colOff>
      <xdr:row>19</xdr:row>
      <xdr:rowOff>14079</xdr:rowOff>
    </xdr:from>
    <xdr:ext cx="34471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/>
            <xdr:cNvSpPr txBox="1"/>
          </xdr:nvSpPr>
          <xdr:spPr>
            <a:xfrm>
              <a:off x="7516881" y="4157454"/>
              <a:ext cx="3447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𝑵</m:t>
                        </m:r>
                      </m:e>
                      <m:sub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𝒓</m:t>
                        </m:r>
                      </m:sub>
                    </m:sSub>
                    <m:r>
                      <a:rPr lang="es-ES" sz="1100" b="1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516881" y="4157454"/>
              <a:ext cx="3447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1" i="0">
                  <a:latin typeface="Cambria Math" panose="02040503050406030204" pitchFamily="18" charset="0"/>
                </a:rPr>
                <a:t>𝑵_𝒓=</a:t>
              </a:r>
              <a:endParaRPr lang="en-US" sz="1100" b="1"/>
            </a:p>
          </xdr:txBody>
        </xdr:sp>
      </mc:Fallback>
    </mc:AlternateContent>
    <xdr:clientData/>
  </xdr:oneCellAnchor>
  <xdr:oneCellAnchor>
    <xdr:from>
      <xdr:col>10</xdr:col>
      <xdr:colOff>72887</xdr:colOff>
      <xdr:row>15</xdr:row>
      <xdr:rowOff>86139</xdr:rowOff>
    </xdr:from>
    <xdr:ext cx="353365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/>
            <xdr:cNvSpPr txBox="1"/>
          </xdr:nvSpPr>
          <xdr:spPr>
            <a:xfrm>
              <a:off x="6824207" y="2501679"/>
              <a:ext cx="353365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E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1" i="1">
                                <a:latin typeface="Cambria Math" panose="02040503050406030204" pitchFamily="18" charset="0"/>
                              </a:rPr>
                              <m:t>𝑵</m:t>
                            </m:r>
                          </m:e>
                          <m:sub>
                            <m:r>
                              <a:rPr lang="es-ES" sz="1100" b="1" i="1">
                                <a:latin typeface="Cambria Math" panose="02040503050406030204" pitchFamily="18" charset="0"/>
                              </a:rPr>
                              <m:t>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1" i="1">
                                <a:latin typeface="Cambria Math" panose="02040503050406030204" pitchFamily="18" charset="0"/>
                              </a:rPr>
                              <m:t>𝑵</m:t>
                            </m:r>
                          </m:e>
                          <m:sub>
                            <m:r>
                              <a:rPr lang="es-ES" sz="1100" b="1" i="1">
                                <a:latin typeface="Cambria Math" panose="02040503050406030204" pitchFamily="18" charset="0"/>
                              </a:rPr>
                              <m:t>𝒂</m:t>
                            </m:r>
                          </m:sub>
                        </m:sSub>
                      </m:den>
                    </m:f>
                    <m:r>
                      <a:rPr lang="es-ES" sz="1100" b="1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6824207" y="2501679"/>
              <a:ext cx="353365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1" i="0">
                  <a:latin typeface="Cambria Math" panose="02040503050406030204" pitchFamily="18" charset="0"/>
                </a:rPr>
                <a:t>𝑵_𝒓/𝑵_𝒂 =</a:t>
              </a:r>
              <a:endParaRPr lang="en-US" sz="1100" b="1"/>
            </a:p>
          </xdr:txBody>
        </xdr:sp>
      </mc:Fallback>
    </mc:AlternateContent>
    <xdr:clientData/>
  </xdr:oneCellAnchor>
  <xdr:twoCellAnchor>
    <xdr:from>
      <xdr:col>12</xdr:col>
      <xdr:colOff>441960</xdr:colOff>
      <xdr:row>2</xdr:row>
      <xdr:rowOff>106680</xdr:rowOff>
    </xdr:from>
    <xdr:to>
      <xdr:col>15</xdr:col>
      <xdr:colOff>76200</xdr:colOff>
      <xdr:row>7</xdr:row>
      <xdr:rowOff>175260</xdr:rowOff>
    </xdr:to>
    <xdr:sp macro="" textlink="">
      <xdr:nvSpPr>
        <xdr:cNvPr id="60" name="Flecha izquierda 59">
          <a:hlinkClick xmlns:r="http://schemas.openxmlformats.org/officeDocument/2006/relationships" r:id="rId1"/>
        </xdr:cNvPr>
        <xdr:cNvSpPr/>
      </xdr:nvSpPr>
      <xdr:spPr>
        <a:xfrm>
          <a:off x="8778240" y="480060"/>
          <a:ext cx="2011680" cy="990600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Candara" panose="020E0502030303020204" pitchFamily="34" charset="0"/>
            </a:rPr>
            <a:t>A</a:t>
          </a:r>
          <a:r>
            <a:rPr lang="en-US" sz="1200" b="1" baseline="0">
              <a:solidFill>
                <a:sysClr val="windowText" lastClr="000000"/>
              </a:solidFill>
              <a:latin typeface="Candara" panose="020E0502030303020204" pitchFamily="34" charset="0"/>
            </a:rPr>
            <a:t> PORTADA</a:t>
          </a:r>
          <a:endParaRPr lang="en-US" sz="1200" b="1">
            <a:solidFill>
              <a:sysClr val="windowText" lastClr="000000"/>
            </a:solidFill>
            <a:latin typeface="Candara" panose="020E0502030303020204" pitchFamily="34" charset="0"/>
          </a:endParaRPr>
        </a:p>
      </xdr:txBody>
    </xdr:sp>
    <xdr:clientData/>
  </xdr:twoCellAnchor>
  <xdr:twoCellAnchor>
    <xdr:from>
      <xdr:col>12</xdr:col>
      <xdr:colOff>472440</xdr:colOff>
      <xdr:row>9</xdr:row>
      <xdr:rowOff>7620</xdr:rowOff>
    </xdr:from>
    <xdr:to>
      <xdr:col>15</xdr:col>
      <xdr:colOff>106680</xdr:colOff>
      <xdr:row>14</xdr:row>
      <xdr:rowOff>15240</xdr:rowOff>
    </xdr:to>
    <xdr:sp macro="" textlink="">
      <xdr:nvSpPr>
        <xdr:cNvPr id="61" name="Flecha izquierda 60">
          <a:hlinkClick xmlns:r="http://schemas.openxmlformats.org/officeDocument/2006/relationships" r:id="rId2"/>
        </xdr:cNvPr>
        <xdr:cNvSpPr/>
      </xdr:nvSpPr>
      <xdr:spPr>
        <a:xfrm>
          <a:off x="8808720" y="1684020"/>
          <a:ext cx="2011680" cy="9906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Candara" panose="020E0502030303020204" pitchFamily="34" charset="0"/>
            </a:rPr>
            <a:t>A PARAMETRIZACIÓN</a:t>
          </a:r>
        </a:p>
      </xdr:txBody>
    </xdr:sp>
    <xdr:clientData/>
  </xdr:twoCellAnchor>
  <xdr:twoCellAnchor>
    <xdr:from>
      <xdr:col>12</xdr:col>
      <xdr:colOff>495300</xdr:colOff>
      <xdr:row>15</xdr:row>
      <xdr:rowOff>53340</xdr:rowOff>
    </xdr:from>
    <xdr:to>
      <xdr:col>15</xdr:col>
      <xdr:colOff>129540</xdr:colOff>
      <xdr:row>18</xdr:row>
      <xdr:rowOff>144780</xdr:rowOff>
    </xdr:to>
    <xdr:sp macro="" textlink="">
      <xdr:nvSpPr>
        <xdr:cNvPr id="62" name="Flecha izquierda 61">
          <a:hlinkClick xmlns:r="http://schemas.openxmlformats.org/officeDocument/2006/relationships" r:id="rId3"/>
        </xdr:cNvPr>
        <xdr:cNvSpPr/>
      </xdr:nvSpPr>
      <xdr:spPr>
        <a:xfrm>
          <a:off x="8831580" y="2903220"/>
          <a:ext cx="2011680" cy="990600"/>
        </a:xfrm>
        <a:prstGeom prst="lef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Candara" panose="020E0502030303020204" pitchFamily="34" charset="0"/>
            </a:rPr>
            <a:t>A CÁLCULOS</a:t>
          </a:r>
        </a:p>
      </xdr:txBody>
    </xdr:sp>
    <xdr:clientData/>
  </xdr:twoCellAnchor>
  <xdr:oneCellAnchor>
    <xdr:from>
      <xdr:col>0</xdr:col>
      <xdr:colOff>649356</xdr:colOff>
      <xdr:row>77</xdr:row>
      <xdr:rowOff>88374</xdr:rowOff>
    </xdr:from>
    <xdr:ext cx="34471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/>
            <xdr:cNvSpPr txBox="1"/>
          </xdr:nvSpPr>
          <xdr:spPr>
            <a:xfrm>
              <a:off x="649356" y="14975949"/>
              <a:ext cx="3447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𝑵</m:t>
                        </m:r>
                      </m:e>
                      <m:sub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𝒓</m:t>
                        </m:r>
                      </m:sub>
                    </m:sSub>
                    <m:r>
                      <a:rPr lang="es-ES" sz="1100" b="1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49356" y="14975949"/>
              <a:ext cx="3447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1" i="0">
                  <a:latin typeface="Cambria Math" panose="02040503050406030204" pitchFamily="18" charset="0"/>
                </a:rPr>
                <a:t>𝑵_𝒓=</a:t>
              </a:r>
              <a:endParaRPr lang="en-US" sz="1100" b="1"/>
            </a:p>
          </xdr:txBody>
        </xdr:sp>
      </mc:Fallback>
    </mc:AlternateContent>
    <xdr:clientData/>
  </xdr:oneCellAnchor>
  <xdr:oneCellAnchor>
    <xdr:from>
      <xdr:col>0</xdr:col>
      <xdr:colOff>801756</xdr:colOff>
      <xdr:row>78</xdr:row>
      <xdr:rowOff>50274</xdr:rowOff>
    </xdr:from>
    <xdr:ext cx="34471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/>
            <xdr:cNvSpPr txBox="1"/>
          </xdr:nvSpPr>
          <xdr:spPr>
            <a:xfrm>
              <a:off x="801756" y="15128349"/>
              <a:ext cx="3447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𝑵</m:t>
                        </m:r>
                      </m:e>
                      <m:sub>
                        <m:r>
                          <a:rPr lang="es-ES" sz="1100" b="1" i="1">
                            <a:latin typeface="Cambria Math" panose="02040503050406030204" pitchFamily="18" charset="0"/>
                          </a:rPr>
                          <m:t>𝒓</m:t>
                        </m:r>
                      </m:sub>
                    </m:sSub>
                    <m:r>
                      <a:rPr lang="es-ES" sz="1100" b="1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801756" y="15128349"/>
              <a:ext cx="34471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1" i="0">
                  <a:latin typeface="Cambria Math" panose="02040503050406030204" pitchFamily="18" charset="0"/>
                </a:rPr>
                <a:t>𝑵_𝒓=</a:t>
              </a:r>
              <a:endParaRPr lang="en-US" sz="1100" b="1"/>
            </a:p>
          </xdr:txBody>
        </xdr:sp>
      </mc:Fallback>
    </mc:AlternateContent>
    <xdr:clientData/>
  </xdr:oneCellAnchor>
  <xdr:oneCellAnchor>
    <xdr:from>
      <xdr:col>10</xdr:col>
      <xdr:colOff>58806</xdr:colOff>
      <xdr:row>20</xdr:row>
      <xdr:rowOff>195054</xdr:rowOff>
    </xdr:from>
    <xdr:ext cx="28418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/>
            <xdr:cNvSpPr txBox="1"/>
          </xdr:nvSpPr>
          <xdr:spPr>
            <a:xfrm>
              <a:off x="7535931" y="4538454"/>
              <a:ext cx="2841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VE" sz="1100" b="1" i="1">
                        <a:latin typeface="Cambria Math" panose="02040503050406030204" pitchFamily="18" charset="0"/>
                      </a:rPr>
                      <m:t>𝝓</m:t>
                    </m:r>
                    <m:r>
                      <a:rPr lang="es-ES" sz="1100" b="1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7535931" y="4538454"/>
              <a:ext cx="2841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VE" sz="1100" b="1" i="0">
                  <a:latin typeface="Cambria Math" panose="02040503050406030204" pitchFamily="18" charset="0"/>
                </a:rPr>
                <a:t>𝝓</a:t>
              </a:r>
              <a:r>
                <a:rPr lang="es-ES" sz="1100" b="1" i="0">
                  <a:latin typeface="Cambria Math" panose="02040503050406030204" pitchFamily="18" charset="0"/>
                </a:rPr>
                <a:t>=</a:t>
              </a:r>
              <a:endParaRPr lang="en-US" sz="1100" b="1"/>
            </a:p>
          </xdr:txBody>
        </xdr:sp>
      </mc:Fallback>
    </mc:AlternateContent>
    <xdr:clientData/>
  </xdr:oneCellAnchor>
  <xdr:twoCellAnchor>
    <xdr:from>
      <xdr:col>4</xdr:col>
      <xdr:colOff>466725</xdr:colOff>
      <xdr:row>11</xdr:row>
      <xdr:rowOff>9525</xdr:rowOff>
    </xdr:from>
    <xdr:to>
      <xdr:col>4</xdr:col>
      <xdr:colOff>466725</xdr:colOff>
      <xdr:row>14</xdr:row>
      <xdr:rowOff>104775</xdr:rowOff>
    </xdr:to>
    <xdr:cxnSp macro="">
      <xdr:nvCxnSpPr>
        <xdr:cNvPr id="37" name="Conector recto de flecha 36"/>
        <xdr:cNvCxnSpPr/>
      </xdr:nvCxnSpPr>
      <xdr:spPr>
        <a:xfrm flipH="1">
          <a:off x="4314825" y="2200275"/>
          <a:ext cx="0" cy="6858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571500</xdr:colOff>
      <xdr:row>23</xdr:row>
      <xdr:rowOff>180975</xdr:rowOff>
    </xdr:from>
    <xdr:to>
      <xdr:col>4</xdr:col>
      <xdr:colOff>371475</xdr:colOff>
      <xdr:row>23</xdr:row>
      <xdr:rowOff>180975</xdr:rowOff>
    </xdr:to>
    <xdr:cxnSp macro="">
      <xdr:nvCxnSpPr>
        <xdr:cNvPr id="41" name="Conector recto de flecha 40"/>
        <xdr:cNvCxnSpPr/>
      </xdr:nvCxnSpPr>
      <xdr:spPr>
        <a:xfrm>
          <a:off x="2990850" y="5076825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</sheetPr>
  <dimension ref="A1"/>
  <sheetViews>
    <sheetView tabSelected="1" zoomScale="72" zoomScaleNormal="72" workbookViewId="0">
      <selection activeCell="L22" sqref="L22"/>
    </sheetView>
  </sheetViews>
  <sheetFormatPr baseColWidth="10" defaultColWidth="11.5" defaultRowHeight="15" x14ac:dyDescent="0.25"/>
  <cols>
    <col min="1" max="16384" width="11.5" style="1"/>
  </cols>
  <sheetData/>
  <sheetProtection algorithmName="SHA-512" hashValue="QB7Cy0DVhsxcxvoGTv4/LIV9jnS6J5NG1ENpx+RV5yDxKcYc6xnG/LkudmgtFcOvPXtosZmh1MZHYTkyBosxGw==" saltValue="Lyhn0L/1nHA2yqF+1+OimA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79998168889431442"/>
  </sheetPr>
  <dimension ref="A1:V59"/>
  <sheetViews>
    <sheetView zoomScaleNormal="100" workbookViewId="0">
      <selection activeCell="E17" sqref="E17"/>
    </sheetView>
  </sheetViews>
  <sheetFormatPr baseColWidth="10" defaultColWidth="11.5" defaultRowHeight="15" x14ac:dyDescent="0.25"/>
  <cols>
    <col min="1" max="1" width="4.125" style="23" customWidth="1"/>
    <col min="2" max="2" width="12.5" style="23" customWidth="1"/>
    <col min="3" max="4" width="6.625" style="23" customWidth="1"/>
    <col min="5" max="5" width="11.5" style="23"/>
    <col min="6" max="6" width="14.375" style="23" customWidth="1"/>
    <col min="7" max="7" width="8.625" style="23" customWidth="1"/>
    <col min="8" max="8" width="16.875" style="23" customWidth="1"/>
    <col min="9" max="9" width="9.125" style="23" customWidth="1"/>
    <col min="10" max="10" width="13.375" style="23" customWidth="1"/>
    <col min="11" max="11" width="11.625" style="23" customWidth="1"/>
    <col min="12" max="12" width="15.625" style="23" customWidth="1"/>
    <col min="13" max="13" width="12.5" style="23" customWidth="1"/>
    <col min="14" max="14" width="11.125" style="23" hidden="1" customWidth="1"/>
    <col min="15" max="21" width="11.5" style="23"/>
    <col min="22" max="22" width="0" style="23" hidden="1" customWidth="1"/>
    <col min="23" max="23" width="15.25" style="23" customWidth="1"/>
    <col min="24" max="16384" width="11.5" style="23"/>
  </cols>
  <sheetData>
    <row r="1" spans="1:14" x14ac:dyDescent="0.25">
      <c r="N1" s="24" t="s">
        <v>28</v>
      </c>
    </row>
    <row r="2" spans="1:14" ht="15.75" thickBot="1" x14ac:dyDescent="0.3">
      <c r="B2" s="144" t="s">
        <v>29</v>
      </c>
      <c r="C2" s="144"/>
      <c r="D2" s="144"/>
      <c r="E2" s="144"/>
      <c r="F2" s="144"/>
      <c r="G2" s="144"/>
      <c r="H2" s="144"/>
      <c r="I2" s="144"/>
      <c r="J2" s="144"/>
      <c r="K2" s="144"/>
      <c r="N2" s="23" t="s">
        <v>2</v>
      </c>
    </row>
    <row r="3" spans="1:14" ht="24" customHeight="1" x14ac:dyDescent="0.25">
      <c r="A3" s="149" t="s">
        <v>30</v>
      </c>
      <c r="B3" s="150"/>
      <c r="C3" s="150"/>
      <c r="D3" s="151"/>
      <c r="E3" s="2"/>
      <c r="F3" s="2"/>
      <c r="G3" s="2"/>
      <c r="H3" s="2"/>
      <c r="I3" s="2"/>
      <c r="J3" s="2"/>
      <c r="K3" s="3"/>
      <c r="N3" s="23" t="s">
        <v>3</v>
      </c>
    </row>
    <row r="4" spans="1:14" x14ac:dyDescent="0.25">
      <c r="A4" s="65" t="s">
        <v>43</v>
      </c>
      <c r="B4" s="61" t="s">
        <v>28</v>
      </c>
      <c r="C4" s="29" t="str">
        <f>IF((B4="C1"),"CH4",IF((B4="C2"),"C2H6",IF((B4="C3"),"C3H8",IF((B4="iC4"),"C4H10",IF((B4="nC4"),"C4H10",IF((B4="iC5"),"C5H12",IF((B4="nC5"),"C5H12",IF((B4="nC6"),"C6H14",IF((B4="nC7"),"C7H16",IF((B4="Benceno"),"C6H6",IF((B4="Tolueno"),"C7H8",IF((OR((B4="o-xileno"),(B4="m-xileno"),(B4="p-xileno"))),"C8H10","---"))))))))))))</f>
        <v>---</v>
      </c>
      <c r="D4" s="29"/>
      <c r="E4" s="44"/>
      <c r="F4" s="137"/>
      <c r="G4" s="29">
        <f>IFERROR((F4/(SUM(F4:F9))),"---")</f>
        <v>0</v>
      </c>
      <c r="H4" s="29">
        <f>F4</f>
        <v>0</v>
      </c>
      <c r="I4" s="29">
        <f>IFERROR((H4/(SUM(H4:H9))),"---")</f>
        <v>0</v>
      </c>
      <c r="J4" s="29">
        <v>0</v>
      </c>
      <c r="K4" s="30">
        <f>IFERROR((J4/(SUM(J4:J9))),"---")</f>
        <v>0</v>
      </c>
      <c r="N4" s="23" t="s">
        <v>4</v>
      </c>
    </row>
    <row r="5" spans="1:14" x14ac:dyDescent="0.25">
      <c r="A5" s="65" t="s">
        <v>44</v>
      </c>
      <c r="B5" s="61" t="s">
        <v>4</v>
      </c>
      <c r="C5" s="29" t="str">
        <f t="shared" ref="C5:C9" si="0">IF((B5="C1"),"CH4",IF((B5="C2"),"C2H6",IF((B5="C3"),"C3H8",IF((B5="iC4"),"C4H10",IF((B5="nC4"),"C4H10",IF((B5="iC5"),"C5H12",IF((B5="nC5"),"C5H12",IF((B5="nC6"),"C6H14",IF((B5="nC7"),"C7H16",IF((B5="Benceno"),"C6H6",IF((B5="Tolueno"),"C7H8",IF((OR((B5="o-xileno"),(B5="m-xileno"),(B5="p-xileno"))),"C8H10","---"))))))))))))</f>
        <v>C3H8</v>
      </c>
      <c r="D5" s="29"/>
      <c r="E5" s="44">
        <v>5</v>
      </c>
      <c r="F5" s="137">
        <v>5</v>
      </c>
      <c r="G5" s="29">
        <f>IFERROR((F5/(SUM(F4:F9))),"---")</f>
        <v>0.05</v>
      </c>
      <c r="H5" s="29">
        <f>F5</f>
        <v>5</v>
      </c>
      <c r="I5" s="29">
        <f>IFERROR((H5/(SUM(H4:H9))),"---")</f>
        <v>0.1111111111111111</v>
      </c>
      <c r="J5" s="29">
        <v>0</v>
      </c>
      <c r="K5" s="30">
        <f>IFERROR((J5/(SUM(J4:J9))),"---")</f>
        <v>0</v>
      </c>
      <c r="N5" s="23" t="s">
        <v>5</v>
      </c>
    </row>
    <row r="6" spans="1:14" x14ac:dyDescent="0.25">
      <c r="A6" s="65" t="s">
        <v>45</v>
      </c>
      <c r="B6" s="61" t="s">
        <v>5</v>
      </c>
      <c r="C6" s="29" t="str">
        <f t="shared" si="0"/>
        <v>C4H10</v>
      </c>
      <c r="D6" s="29"/>
      <c r="E6" s="44">
        <v>2.6</v>
      </c>
      <c r="F6" s="137">
        <v>15</v>
      </c>
      <c r="G6" s="29">
        <f>IFERROR((F6/(SUM(F4:F9))),"---")</f>
        <v>0.15</v>
      </c>
      <c r="H6" s="29">
        <f>F6</f>
        <v>15</v>
      </c>
      <c r="I6" s="29">
        <f>IFERROR((H6/(SUM(H4:H9))),"---")</f>
        <v>0.33333333333333331</v>
      </c>
      <c r="J6" s="29">
        <v>0</v>
      </c>
      <c r="K6" s="30">
        <f>IFERROR((J6/(SUM(J4:J9))),"---")</f>
        <v>0</v>
      </c>
      <c r="N6" s="23" t="s">
        <v>6</v>
      </c>
    </row>
    <row r="7" spans="1:14" x14ac:dyDescent="0.25">
      <c r="A7" s="65" t="s">
        <v>48</v>
      </c>
      <c r="B7" s="62" t="s">
        <v>6</v>
      </c>
      <c r="C7" s="4" t="str">
        <f t="shared" si="0"/>
        <v>C4H10</v>
      </c>
      <c r="D7" s="59" t="s">
        <v>0</v>
      </c>
      <c r="E7" s="42">
        <v>2</v>
      </c>
      <c r="F7" s="138">
        <v>25</v>
      </c>
      <c r="G7" s="4">
        <f>IFERROR((F7/(SUM(F4:F9))),"---")</f>
        <v>0.25</v>
      </c>
      <c r="H7" s="138">
        <v>24</v>
      </c>
      <c r="I7" s="4">
        <f>IFERROR((H7/(SUM(H4:H9))),"---")</f>
        <v>0.53333333333333333</v>
      </c>
      <c r="J7" s="138">
        <v>1</v>
      </c>
      <c r="K7" s="5">
        <f>IFERROR((J7/(SUM(J4:J9))),"---")</f>
        <v>1.8181818181818181E-2</v>
      </c>
      <c r="N7" s="23" t="s">
        <v>7</v>
      </c>
    </row>
    <row r="8" spans="1:14" x14ac:dyDescent="0.25">
      <c r="A8" s="65" t="s">
        <v>49</v>
      </c>
      <c r="B8" s="63" t="s">
        <v>7</v>
      </c>
      <c r="C8" s="6" t="str">
        <f t="shared" si="0"/>
        <v>C5H12</v>
      </c>
      <c r="D8" s="60" t="s">
        <v>1</v>
      </c>
      <c r="E8" s="43">
        <v>1</v>
      </c>
      <c r="F8" s="139">
        <v>20</v>
      </c>
      <c r="G8" s="6">
        <f>IFERROR((F8/(SUM(F4:F9))),"---")</f>
        <v>0.2</v>
      </c>
      <c r="H8" s="139">
        <v>1</v>
      </c>
      <c r="I8" s="6">
        <f>IFERROR((H8/(SUM(H4:H9))),"---")</f>
        <v>2.2222222222222223E-2</v>
      </c>
      <c r="J8" s="139">
        <v>19</v>
      </c>
      <c r="K8" s="7">
        <f>IFERROR((J8/(SUM(J4:J9))),"---")</f>
        <v>0.34545454545454546</v>
      </c>
      <c r="N8" s="23" t="s">
        <v>8</v>
      </c>
    </row>
    <row r="9" spans="1:14" ht="15.75" thickBot="1" x14ac:dyDescent="0.3">
      <c r="A9" s="66" t="s">
        <v>50</v>
      </c>
      <c r="B9" s="64" t="s">
        <v>8</v>
      </c>
      <c r="C9" s="33" t="str">
        <f t="shared" si="0"/>
        <v>C5H12</v>
      </c>
      <c r="D9" s="33"/>
      <c r="E9" s="45">
        <v>0.85</v>
      </c>
      <c r="F9" s="140">
        <v>35</v>
      </c>
      <c r="G9" s="33">
        <f>IFERROR((F9/(SUM(F4:F9))),"---")</f>
        <v>0.35</v>
      </c>
      <c r="H9" s="33">
        <v>0</v>
      </c>
      <c r="I9" s="33">
        <f>IFERROR((H9/(SUM(H4:H9))),"---")</f>
        <v>0</v>
      </c>
      <c r="J9" s="33">
        <f>F9</f>
        <v>35</v>
      </c>
      <c r="K9" s="34">
        <f>IFERROR((J9/(SUM(J4:J9))),"---")</f>
        <v>0.63636363636363635</v>
      </c>
      <c r="N9" s="23" t="s">
        <v>9</v>
      </c>
    </row>
    <row r="10" spans="1:14" ht="15.75" thickBot="1" x14ac:dyDescent="0.3">
      <c r="N10" s="23" t="s">
        <v>10</v>
      </c>
    </row>
    <row r="11" spans="1:14" x14ac:dyDescent="0.25">
      <c r="B11" s="152" t="s">
        <v>51</v>
      </c>
      <c r="C11" s="153"/>
      <c r="F11" s="145" t="s">
        <v>16</v>
      </c>
      <c r="G11" s="146"/>
      <c r="H11" s="146"/>
      <c r="I11" s="146"/>
      <c r="J11" s="146"/>
      <c r="K11" s="147"/>
      <c r="N11" s="23" t="s">
        <v>11</v>
      </c>
    </row>
    <row r="12" spans="1:14" ht="15.75" thickBot="1" x14ac:dyDescent="0.3">
      <c r="B12" s="67" t="s">
        <v>52</v>
      </c>
      <c r="C12" s="81">
        <v>1</v>
      </c>
      <c r="F12" s="10" t="s">
        <v>17</v>
      </c>
      <c r="G12" s="103">
        <v>8.5</v>
      </c>
      <c r="H12" s="11" t="s">
        <v>24</v>
      </c>
      <c r="I12" s="12" t="s">
        <v>23</v>
      </c>
      <c r="J12" s="19">
        <f>IFERROR(IF((H12="Pa"),(G12*0.00001),IF((H12="bar"),G12,IF((H12="psi"),(((0.00001)/(0.0001450377377))*G12),IF((H12="atm"),(((10)/(9.869232667))*G12),IF((H12="mmHg"),(G12/750.06),"---"))))),"---")</f>
        <v>8.5</v>
      </c>
      <c r="K12" s="13" t="s">
        <v>24</v>
      </c>
      <c r="N12" s="23" t="s">
        <v>12</v>
      </c>
    </row>
    <row r="13" spans="1:14" x14ac:dyDescent="0.25">
      <c r="F13" s="10" t="s">
        <v>18</v>
      </c>
      <c r="G13" s="119">
        <v>83</v>
      </c>
      <c r="H13" s="120" t="s">
        <v>20</v>
      </c>
      <c r="I13" s="12" t="s">
        <v>23</v>
      </c>
      <c r="J13" s="121">
        <f>IF((H13="°C"),G13,IF((H13="°F"),((5/9)*(G13-32)),IF((H13="K"),(G13-273.15),IF((H13="°R"),(((5/9)*G13)-273.15),"---"))))</f>
        <v>83</v>
      </c>
      <c r="K13" s="13" t="s">
        <v>20</v>
      </c>
      <c r="N13" s="23" t="s">
        <v>13</v>
      </c>
    </row>
    <row r="14" spans="1:14" x14ac:dyDescent="0.25">
      <c r="F14" s="10" t="s">
        <v>78</v>
      </c>
      <c r="G14" s="119">
        <v>32.594000000000001</v>
      </c>
      <c r="H14" s="11"/>
      <c r="I14" s="12" t="s">
        <v>23</v>
      </c>
      <c r="J14" s="19">
        <f>G14</f>
        <v>32.594000000000001</v>
      </c>
      <c r="K14" s="122"/>
      <c r="N14" s="23" t="s">
        <v>14</v>
      </c>
    </row>
    <row r="15" spans="1:14" ht="15.75" thickBot="1" x14ac:dyDescent="0.3">
      <c r="F15" s="14" t="s">
        <v>79</v>
      </c>
      <c r="G15" s="104">
        <v>1.1000000000000001</v>
      </c>
      <c r="H15" s="15"/>
      <c r="I15" s="17" t="s">
        <v>23</v>
      </c>
      <c r="J15" s="141">
        <f>G15</f>
        <v>1.1000000000000001</v>
      </c>
      <c r="K15" s="123"/>
      <c r="L15" s="148" t="s">
        <v>75</v>
      </c>
      <c r="M15" s="144"/>
      <c r="N15" s="23" t="s">
        <v>15</v>
      </c>
    </row>
    <row r="16" spans="1:14" ht="15.75" thickBot="1" x14ac:dyDescent="0.3">
      <c r="L16" s="83"/>
      <c r="M16" s="82"/>
    </row>
    <row r="17" spans="2:15" x14ac:dyDescent="0.25">
      <c r="L17" s="36" t="str">
        <f t="shared" ref="L17:L22" si="1">B4</f>
        <v>---</v>
      </c>
      <c r="M17" s="26">
        <f t="shared" ref="M17:M22" si="2">I4</f>
        <v>0</v>
      </c>
    </row>
    <row r="18" spans="2:15" x14ac:dyDescent="0.25">
      <c r="L18" s="37" t="str">
        <f t="shared" si="1"/>
        <v>C3</v>
      </c>
      <c r="M18" s="30">
        <f t="shared" si="2"/>
        <v>0.1111111111111111</v>
      </c>
      <c r="N18" s="23" t="s">
        <v>19</v>
      </c>
    </row>
    <row r="19" spans="2:15" x14ac:dyDescent="0.25">
      <c r="L19" s="37" t="str">
        <f t="shared" si="1"/>
        <v>iC4</v>
      </c>
      <c r="M19" s="30">
        <f t="shared" si="2"/>
        <v>0.33333333333333331</v>
      </c>
      <c r="N19" s="23" t="s">
        <v>20</v>
      </c>
    </row>
    <row r="20" spans="2:15" ht="15.75" thickBot="1" x14ac:dyDescent="0.3">
      <c r="B20" s="154" t="s">
        <v>31</v>
      </c>
      <c r="C20" s="154"/>
      <c r="L20" s="41" t="str">
        <f t="shared" si="1"/>
        <v>nC4</v>
      </c>
      <c r="M20" s="30">
        <f t="shared" si="2"/>
        <v>0.53333333333333333</v>
      </c>
      <c r="N20" s="23" t="s">
        <v>21</v>
      </c>
    </row>
    <row r="21" spans="2:15" x14ac:dyDescent="0.25">
      <c r="B21" s="36" t="str">
        <f t="shared" ref="B21:B26" si="3">B4</f>
        <v>---</v>
      </c>
      <c r="C21" s="26">
        <f t="shared" ref="C21:C26" si="4">G4</f>
        <v>0</v>
      </c>
      <c r="L21" s="40" t="str">
        <f t="shared" si="1"/>
        <v>iC5</v>
      </c>
      <c r="M21" s="30">
        <f t="shared" si="2"/>
        <v>2.2222222222222223E-2</v>
      </c>
      <c r="N21" s="23" t="s">
        <v>22</v>
      </c>
    </row>
    <row r="22" spans="2:15" ht="15.75" thickBot="1" x14ac:dyDescent="0.3">
      <c r="B22" s="37" t="str">
        <f t="shared" si="3"/>
        <v>C3</v>
      </c>
      <c r="C22" s="30">
        <f t="shared" si="4"/>
        <v>0.05</v>
      </c>
      <c r="L22" s="38" t="str">
        <f t="shared" si="1"/>
        <v>nC5</v>
      </c>
      <c r="M22" s="34">
        <f t="shared" si="2"/>
        <v>0</v>
      </c>
    </row>
    <row r="23" spans="2:15" x14ac:dyDescent="0.25">
      <c r="B23" s="37" t="str">
        <f t="shared" si="3"/>
        <v>iC4</v>
      </c>
      <c r="C23" s="30">
        <f t="shared" si="4"/>
        <v>0.15</v>
      </c>
      <c r="L23" s="23" t="s">
        <v>34</v>
      </c>
      <c r="M23" s="23">
        <f>SUM(H4:H9)</f>
        <v>45</v>
      </c>
      <c r="N23" s="23" t="s">
        <v>24</v>
      </c>
      <c r="O23" s="23" t="s">
        <v>81</v>
      </c>
    </row>
    <row r="24" spans="2:15" x14ac:dyDescent="0.25">
      <c r="B24" s="41" t="str">
        <f t="shared" si="3"/>
        <v>nC4</v>
      </c>
      <c r="C24" s="5">
        <f t="shared" si="4"/>
        <v>0.25</v>
      </c>
      <c r="N24" s="23" t="s">
        <v>25</v>
      </c>
    </row>
    <row r="25" spans="2:15" x14ac:dyDescent="0.25">
      <c r="B25" s="40" t="str">
        <f t="shared" si="3"/>
        <v>iC5</v>
      </c>
      <c r="C25" s="7">
        <f t="shared" si="4"/>
        <v>0.2</v>
      </c>
      <c r="N25" s="23" t="s">
        <v>26</v>
      </c>
    </row>
    <row r="26" spans="2:15" ht="15.75" thickBot="1" x14ac:dyDescent="0.3">
      <c r="B26" s="38" t="str">
        <f t="shared" si="3"/>
        <v>nC5</v>
      </c>
      <c r="C26" s="34">
        <f t="shared" si="4"/>
        <v>0.35</v>
      </c>
      <c r="N26" s="23" t="s">
        <v>27</v>
      </c>
    </row>
    <row r="27" spans="2:15" ht="15.75" thickBot="1" x14ac:dyDescent="0.3">
      <c r="B27" s="23" t="s">
        <v>33</v>
      </c>
      <c r="C27" s="23">
        <f>SUM(F4:F9)</f>
        <v>100</v>
      </c>
      <c r="D27" s="23" t="s">
        <v>80</v>
      </c>
      <c r="L27" s="144" t="s">
        <v>35</v>
      </c>
      <c r="M27" s="144"/>
      <c r="N27" s="23" t="s">
        <v>86</v>
      </c>
    </row>
    <row r="28" spans="2:15" x14ac:dyDescent="0.25">
      <c r="L28" s="36" t="str">
        <f t="shared" ref="L28:L33" si="5">B4</f>
        <v>---</v>
      </c>
      <c r="M28" s="26">
        <f t="shared" ref="M28:M33" si="6">K4</f>
        <v>0</v>
      </c>
    </row>
    <row r="29" spans="2:15" x14ac:dyDescent="0.25">
      <c r="L29" s="37" t="str">
        <f t="shared" si="5"/>
        <v>C3</v>
      </c>
      <c r="M29" s="30">
        <f t="shared" si="6"/>
        <v>0</v>
      </c>
    </row>
    <row r="30" spans="2:15" x14ac:dyDescent="0.25">
      <c r="L30" s="37" t="str">
        <f t="shared" si="5"/>
        <v>iC4</v>
      </c>
      <c r="M30" s="30">
        <f t="shared" si="6"/>
        <v>0</v>
      </c>
    </row>
    <row r="31" spans="2:15" x14ac:dyDescent="0.25">
      <c r="L31" s="41" t="str">
        <f t="shared" si="5"/>
        <v>nC4</v>
      </c>
      <c r="M31" s="30">
        <f t="shared" si="6"/>
        <v>1.8181818181818181E-2</v>
      </c>
    </row>
    <row r="32" spans="2:15" x14ac:dyDescent="0.25">
      <c r="L32" s="40" t="str">
        <f t="shared" si="5"/>
        <v>iC5</v>
      </c>
      <c r="M32" s="30">
        <f t="shared" si="6"/>
        <v>0.34545454545454546</v>
      </c>
    </row>
    <row r="33" spans="5:16" ht="15.75" thickBot="1" x14ac:dyDescent="0.3">
      <c r="L33" s="38" t="str">
        <f t="shared" si="5"/>
        <v>nC5</v>
      </c>
      <c r="M33" s="34">
        <f t="shared" si="6"/>
        <v>0.63636363636363635</v>
      </c>
    </row>
    <row r="34" spans="5:16" x14ac:dyDescent="0.25">
      <c r="L34" s="23" t="s">
        <v>34</v>
      </c>
      <c r="M34" s="23">
        <f>SUM(J4:J9)</f>
        <v>55</v>
      </c>
      <c r="O34" s="23" t="s">
        <v>81</v>
      </c>
    </row>
    <row r="37" spans="5:16" ht="15.75" thickBot="1" x14ac:dyDescent="0.3"/>
    <row r="38" spans="5:16" x14ac:dyDescent="0.25">
      <c r="F38" s="36" t="s">
        <v>36</v>
      </c>
      <c r="G38" s="25" t="s">
        <v>40</v>
      </c>
      <c r="H38" s="25" t="s">
        <v>41</v>
      </c>
      <c r="I38" s="25" t="s">
        <v>37</v>
      </c>
      <c r="J38" s="55" t="s">
        <v>38</v>
      </c>
      <c r="K38" s="39" t="s">
        <v>39</v>
      </c>
      <c r="L38" s="25" t="s">
        <v>42</v>
      </c>
      <c r="M38" s="25"/>
      <c r="N38" s="25"/>
      <c r="O38" s="26" t="s">
        <v>46</v>
      </c>
    </row>
    <row r="39" spans="5:16" ht="15.75" thickBot="1" x14ac:dyDescent="0.3">
      <c r="F39" s="38">
        <f>J13</f>
        <v>83</v>
      </c>
      <c r="G39" s="33" t="str">
        <f>IFERROR((10^(G41-(G42/(F39+G43)))),"---")</f>
        <v>---</v>
      </c>
      <c r="H39" s="33">
        <f>IFERROR((10^(H41-(H42/(F39+H43)))),"---")</f>
        <v>31.061379122429905</v>
      </c>
      <c r="I39" s="33">
        <f>IFERROR((10^(I41-(I42/(F39+I43)))),"---")</f>
        <v>14.046427223259332</v>
      </c>
      <c r="J39" s="56">
        <f>IFERROR((10^(J41-(J42/(F39+J43)))),"---")</f>
        <v>10.583445956433778</v>
      </c>
      <c r="K39" s="52">
        <f>IFERROR((10^(K41-(K42/(F39+K43)))),"---")</f>
        <v>3.9588203208204575</v>
      </c>
      <c r="L39" s="33">
        <f>IFERROR((10^(L41-(L42/(F39+L43)))),"---")</f>
        <v>2.7402488316918374</v>
      </c>
      <c r="M39" s="33"/>
      <c r="N39" s="33"/>
      <c r="O39" s="34">
        <f>((IFERROR((G39*G4),0))+(IFERROR((G5*H39),0))+(IFERROR((G6*I39),0))+(IFERROR((G7*J39),0))+(IFERROR((G8*K39),0))+(IFERROR((G9*L39),0)))</f>
        <v>8.0567456839750751</v>
      </c>
    </row>
    <row r="40" spans="5:16" ht="15.75" thickBot="1" x14ac:dyDescent="0.3">
      <c r="E40" s="35"/>
      <c r="F40" s="35"/>
      <c r="G40" s="35"/>
      <c r="H40" s="25"/>
      <c r="I40" s="35"/>
      <c r="J40" s="57"/>
      <c r="K40" s="53"/>
      <c r="L40" s="35"/>
      <c r="M40" s="35"/>
      <c r="N40" s="35"/>
      <c r="O40" s="35"/>
      <c r="P40" s="35"/>
    </row>
    <row r="41" spans="5:16" ht="15.75" thickBot="1" x14ac:dyDescent="0.3">
      <c r="F41" s="36" t="s">
        <v>43</v>
      </c>
      <c r="G41" s="25" t="str">
        <f>IF((B4="C1"),3.7687,IF((B4="C2"),3.95405,IF((B4="C3"),3.92828,IF((B4="iC4"),4.00272,IF((B4="nC4"),3.93266,IF((B4="iC5"),3.97786,IF((B4="nC6"),4.00139,IF((B4="nC7"),4.02023,IF((B4="Benceno"),3.98523,IF((B4="Tolueno"),4.05004,IF((B4="o-Xileno"),4.09789,IF((B4="m-Xileno"),4.14051,IF((B4="p-Xileno"),4.10494,IF((B4="nC4"),4.06783,"---"))))))))))))))</f>
        <v>---</v>
      </c>
      <c r="H41" s="25">
        <f>IF((B5="C1"),3.7687,IF((B5="C2"),3.95405,IF((B5="C3"),3.92828,IF((B5="iC4"),4.00272,IF((B5="nC4"),3.93266,IF((B5="iC5"),3.97786,IF((B5="nC6"),4.00139,IF((B5="nC7"),4.02023,IF((B5="Benceno"),3.98523,IF((B5="Tolueno"),4.05004,IF((B5="o-Xileno"),4.09789,IF((B5="m-Xileno"),4.14051,IF((B5="p-Xileno"),4.10494,IF((B5="nC4"),4.06783))))))))))))))</f>
        <v>3.92828</v>
      </c>
      <c r="I41" s="25">
        <f>IF((B6="C1"),3.7687,IF((B6="C2"),3.95405,IF((B6="C3"),3.92828,IF((B6="iC4"),4.00272,IF((B6="nC4"),3.93266,IF((B6="iC5"),3.97786,IF((B6="nC6"),4.00139,IF((B6="nC7"),4.02023,IF((B6="Benceno"),3.98523,IF((B6="Tolueno"),4.05004,IF((B6="o-Xileno"),4.09789,IF((B6="m-Xileno"),4.14051,IF((B6="p-Xileno"),4.10494,IF((B6="nC5"),4.06783,"---"))))))))))))))</f>
        <v>4.0027200000000001</v>
      </c>
      <c r="J41" s="55">
        <f>IF((B7="C1"),3.7687,IF((B7="C2"),3.95405,IF((B7="C3"),3.92828,IF((B7="iC4"),4.00272,IF((B7="nC4"),3.93266,IF((B7="iC5"),3.97786,IF((B7="nC6"),4.00139,IF((B7="nC7"),4.02023,IF((B7="Benceno"),3.98523,IF((B7="Tolueno"),4.05004,IF((B7="o-Xileno"),4.09789,IF((B7="m-Xileno"),4.14051,IF((B7="p-Xileno"),4.10494,IF((B7="nC5"),4.06783,"---"))))))))))))))</f>
        <v>3.9326599999999998</v>
      </c>
      <c r="K41" s="39">
        <f>IF((B8="C1"),3.7687,IF((B8="C2"),3.95405,IF((B8="C3"),3.92828,IF((B8="iC4"),4.00272,IF((B8="nC4"),3.93266,IF((B8="iC5"),3.97786,IF((B8="nC6"),4.00139,IF((B8="nC7"),4.02023,IF((B8="Benceno"),3.98523,IF((B8="Tolueno"),4.05004,IF((B8="o-Xileno"),4.09789,IF((B8="m-Xileno"),4.14051,IF((B8="p-Xileno"),4.10494,IF((B8="nC5"),4.06783,"---"))))))))))))))</f>
        <v>3.9778600000000002</v>
      </c>
      <c r="L41" s="25">
        <f>IF((B9="C1"),3.7687,IF((B9="C2"),3.95405,IF((B9="C3"),3.92828,IF((B9="iC4"),4.00272,IF((B9="nC4"),3.93266,IF((B9="iC5"),3.97786,IF((B9="nC6"),4.00139,IF((B9="nC7"),4.02023,IF((B9="Benceno"),3.98523,IF((B9="Tolueno"),4.05004,IF((B9="o-Xileno"),4.09789,IF((B9="m-Xileno"),4.14051,IF((B9="p-Xileno"),4.10494,IF((B9="nC5"),4.06783,"---"))))))))))))))</f>
        <v>4.0678299999999998</v>
      </c>
      <c r="M41" s="25"/>
      <c r="N41" s="25"/>
      <c r="O41" s="26"/>
    </row>
    <row r="42" spans="5:16" ht="15.75" thickBot="1" x14ac:dyDescent="0.3">
      <c r="F42" s="37" t="s">
        <v>44</v>
      </c>
      <c r="G42" s="50" t="str">
        <f>IF((B4="C1"),395.744,IF((B4="C2"),663.72,IF((B4="C3"),803.997,IF((B4="iC4"),947.54,IF((B4="nC4"),935.773,IF((B4="iC5"),1064.84,IF((B4="nC6"),1170.875,IF((B4="nC7"),1263.909,IF((B4="Benceno"),1184.24,IF((B4="Tolueno"),1327.62,IF((B4="o-Xileno"),1458.706,IF((B4="m-Xileno"),1468.703,IF((B4="p-Xileno"),1446.832,IF((B4="nC5"),1152.574,"---"))))))))))))))</f>
        <v>---</v>
      </c>
      <c r="H42" s="50">
        <f>IF((B5="C1"),395.744,IF((B5="C2"),663.72,IF((B5="C3"),803.997,IF((B5="iC4"),947.54,IF((B5="nC4"),935.773,IF((B5="iC5"),1064.84,IF((B5="nC6"),1170.875,IF((B5="nC7"),1263.909,IF((B5="Benceno"),1184.24,IF((B5="Tolueno"),1327.62,IF((B5="o-Xileno"),1458.706,IF((B5="m-Xileno"),1468.703,IF((B5="p-Xileno"),1446.832,IF((B5="nC5"),1152.574,"---"))))))))))))))</f>
        <v>803.99699999999996</v>
      </c>
      <c r="I42" s="25">
        <f>IF((B6="C1"),395.744,IF((B6="C2"),663.72,IF((B6="C3"),803.997,IF((B6="iC4"),947.54,IF((B6="nC4"),935.773,IF((B6="iC5"),1064.84,IF((B6="nC6"),1170.875,IF((B6="nC7"),1263.909,IF((B6="Benceno"),1184.24,IF((B6="Tolueno"),1327.62,IF((B6="o-Xileno"),1458.706,IF((B6="m-Xileno"),1468.703,IF((B6="p-Xileno"),1446.832,IF((B6="nC5"),1152.574,"---"))))))))))))))</f>
        <v>947.54</v>
      </c>
      <c r="J42" s="55">
        <f>IF((B7="C1"),395.744,IF((B7="C2"),663.72,IF((B7="C3"),803.997,IF((B7="iC4"),947.54,IF((B7="nC4"),935.773,IF((B7="iC5"),1064.84,IF((B7="nC6"),1170.875,IF((B7="nC7"),1263.909,IF((B7="Benceno"),1184.24,IF((B7="Tolueno"),1327.62,IF((B7="o-Xileno"),1458.706,IF((B7="m-Xileno"),1468.703,IF((B7="p-Xileno"),1446.832,IF((B7="nC5"),1152.574,"---"))))))))))))))</f>
        <v>935.77300000000002</v>
      </c>
      <c r="K42" s="39">
        <f>IF((B8="C1"),395.744,IF((B8="C2"),663.72,IF((B8="C3"),803.997,IF((B8="iC4"),947.54,IF((B8="nC4"),935.773,IF((B8="iC5"),1064.84,IF((B8="nC6"),1170.875,IF((B8="nC7"),1263.909,IF((B8="Benceno"),1184.24,IF((B8="Tolueno"),1327.62,IF((B8="o-Xileno"),1458.706,IF((B8="m-Xileno"),1468.703,IF((B8="p-Xileno"),1446.832,IF((B8="nC5"),1152.574,"---"))))))))))))))</f>
        <v>1064.8399999999999</v>
      </c>
      <c r="L42" s="29">
        <f>IF((B9="C1"),395.744,IF((B9="C2"),663.72,IF((B9="C3"),803.997,IF((B9="iC4"),947.54,IF((B9="nC4"),935.773,IF((B9="iC5"),1064.84,IF((B9="nC6"),1170.875,IF((B9="nC7"),1263.909,IF((B9="Benceno"),1184.24,IF((B9="Tolueno"),1327.62,IF((B9="o-Xileno"),1458.706,IF((B9="m-Xileno"),1468.703,IF((B9="p-Xileno"),1446.832,IF((B9="nC5"),1152.574,"---"))))))))))))))</f>
        <v>1152.5740000000001</v>
      </c>
      <c r="M42" s="29"/>
      <c r="N42" s="29"/>
      <c r="O42" s="30"/>
    </row>
    <row r="43" spans="5:16" x14ac:dyDescent="0.25">
      <c r="F43" s="37" t="s">
        <v>45</v>
      </c>
      <c r="G43" s="50" t="str">
        <f>IF((B4="C1"),266.681,IF((B4="C2"),256.681,IF((B4="C3"),247.04,IF((B4="iC4"),248.87,IF((B4="nC4"),238.789,IF((B4="iC5"),232.014,IF((B4="nC6"),224.317,IF((B4="nC7"),216.432,IF((B4="Benceno"),217.572,IF((B4="Tolueno"),217.625,IF((B4="o-Xileno"),212.041,IF((B4="m-Xileno"),216.12,IF((B4="p-Xileno"),214.627,IF((B4="nC5"),234.51,"---"))))))))))))))</f>
        <v>---</v>
      </c>
      <c r="H43" s="50">
        <f>IF((B5="C1"),266.681,IF((B5="C2"),256.681,IF((B5="C3"),247.04,IF((B5="iC4"),248.87,IF((B5="nC4"),238.789,IF((B5="iC5"),232.014,IF((B5="nC6"),224.317,IF((B5="nC7"),216.432,IF((B5="Benceno"),217.572,IF((B5="Tolueno"),217.625,IF((B5="o-Xileno"),212.041,IF((B5="m-Xileno"),216.12,IF((B5="p-Xileno"),214.627,IF((B5="nC5"),234.51,"---"))))))))))))))</f>
        <v>247.04</v>
      </c>
      <c r="I43" s="25">
        <f>IF((B6="C1"),266.681,IF((B6="C2"),256.681,IF((B6="C3"),247.04,IF((B6="iC4"),248.87,IF((B6="nC4"),238.789,IF((B6="iC5"),232.014,IF((B6="nC6"),224.317,IF((B6="nC7"),216.432,IF((B6="Benceno"),217.572,IF((B6="Tolueno"),217.625,IF((B6="o-Xileno"),212.041,IF((B6="m-Xileno"),216.12,IF((B6="p-Xileno"),214.627,IF((B6="nC5"),234.51,"---"))))))))))))))</f>
        <v>248.87</v>
      </c>
      <c r="J43" s="55">
        <f>IF((B7="C1"),266.681,IF((B7="C2"),256.681,IF((B7="C3"),247.04,IF((B7="iC4"),248.87,IF((B7="nC4"),238.789,IF((B7="iC5"),232.014,IF((B7="nC6"),224.317,IF((B7="nC7"),216.432,IF((B7="Benceno"),217.572,IF((B7="Tolueno"),217.625,IF((B7="o-Xileno"),212.041,IF((B7="m-Xileno"),216.12,IF((B7="p-Xileno"),214.627,IF((B7="nC5"),234.51,"---"))))))))))))))</f>
        <v>238.78899999999999</v>
      </c>
      <c r="K43" s="39">
        <f>IF((B8="C1"),266.681,IF((B8="C2"),256.681,IF((B8="C3"),247.04,IF((B8="iC4"),248.87,IF((B8="nC4"),238.789,IF((B8="iC5"),232.014,IF((B8="nC6"),224.317,IF((B8="nC7"),216.432,IF((B8="Benceno"),217.572,IF((B8="Tolueno"),217.625,IF((B8="o-Xileno"),212.041,IF((B8="m-Xileno"),216.12,IF((B8="p-Xileno"),214.627,IF((B8="nC5"),234.51,"---"))))))))))))))</f>
        <v>232.01400000000001</v>
      </c>
      <c r="L43" s="29">
        <f>IF((B9="C1"),266.681,IF((B9="C2"),256.681,IF((B9="C3"),247.04,IF((B9="iC4"),248.87,IF((B9="nC4"),238.789,IF((B9="iC5"),232.014,IF((B9="nC6"),224.317,IF((B9="nC7"),216.432,IF((B9="Benceno"),217.572,IF((B9="Tolueno"),217.625,IF((B9="o-Xileno"),212.041,IF((B9="m-Xileno"),216.12,IF((B9="p-Xileno"),214.627,IF((B9="nC5"),234.51,"---"))))))))))))))</f>
        <v>234.51</v>
      </c>
      <c r="M43" s="29"/>
      <c r="N43" s="29"/>
      <c r="O43" s="30"/>
    </row>
    <row r="44" spans="5:16" ht="15.75" thickBot="1" x14ac:dyDescent="0.3">
      <c r="F44" s="38" t="s">
        <v>47</v>
      </c>
      <c r="G44" s="51" t="str">
        <f>IFERROR((G39/O39),"---")</f>
        <v>---</v>
      </c>
      <c r="H44" s="51">
        <f>IFERROR((H39/O39),"---")</f>
        <v>3.8553257532022154</v>
      </c>
      <c r="I44" s="51">
        <f>IFERROR((I39/O39),"---")</f>
        <v>1.7434368384244494</v>
      </c>
      <c r="J44" s="58">
        <f>IFERROR((J39/O39),"---")</f>
        <v>1.3136130109560649</v>
      </c>
      <c r="K44" s="54">
        <f>IFERROR((K39/O39),"---")</f>
        <v>0.49136716933917618</v>
      </c>
      <c r="L44" s="51">
        <f>IFERROR((L39/O39),"---")</f>
        <v>0.34011857134105794</v>
      </c>
      <c r="M44" s="51"/>
      <c r="N44" s="33"/>
      <c r="O44" s="34"/>
    </row>
    <row r="54" spans="22:22" x14ac:dyDescent="0.25">
      <c r="V54" s="106" t="str">
        <f>IFERROR((G44/K44),"---")</f>
        <v>---</v>
      </c>
    </row>
    <row r="55" spans="22:22" x14ac:dyDescent="0.25">
      <c r="V55" s="106">
        <f>IFERROR((H44/K44),"---")</f>
        <v>7.8461199562582058</v>
      </c>
    </row>
    <row r="56" spans="22:22" x14ac:dyDescent="0.25">
      <c r="V56" s="106">
        <f>IFERROR((I44/K44),"---")</f>
        <v>3.5481345665994355</v>
      </c>
    </row>
    <row r="57" spans="22:22" x14ac:dyDescent="0.25">
      <c r="V57" s="106">
        <f>IFERROR((J44/K44),"---")</f>
        <v>2.6733837605037807</v>
      </c>
    </row>
    <row r="58" spans="22:22" x14ac:dyDescent="0.25">
      <c r="V58" s="106">
        <f>IFERROR((K44/K44),"---")</f>
        <v>1</v>
      </c>
    </row>
    <row r="59" spans="22:22" x14ac:dyDescent="0.25">
      <c r="V59" s="106">
        <f>IFERROR((L44/K44),"---")</f>
        <v>0.6921882302362049</v>
      </c>
    </row>
  </sheetData>
  <sheetProtection algorithmName="SHA-512" hashValue="2+t87q0pNW5Clf+WkRQtEUleMB7jGb+Y6/E9S3hCMNPMWJybLpxkwttPOQbHsylQl6LeVyj8I2VrtbAj3u4vdw==" saltValue="Z5bqjXG5rQipzNQYwYmI2Q==" spinCount="100000" sheet="1" objects="1" scenarios="1"/>
  <mergeCells count="7">
    <mergeCell ref="L27:M27"/>
    <mergeCell ref="F11:K11"/>
    <mergeCell ref="B2:K2"/>
    <mergeCell ref="L15:M15"/>
    <mergeCell ref="A3:D3"/>
    <mergeCell ref="B11:C11"/>
    <mergeCell ref="B20:C20"/>
  </mergeCells>
  <dataValidations count="3">
    <dataValidation type="list" allowBlank="1" showInputMessage="1" showErrorMessage="1" sqref="B4:B9">
      <formula1>$N$1:$N$15</formula1>
    </dataValidation>
    <dataValidation type="list" allowBlank="1" showInputMessage="1" showErrorMessage="1" sqref="H13">
      <formula1>$N$18:$N$21</formula1>
    </dataValidation>
    <dataValidation type="list" allowBlank="1" showInputMessage="1" showErrorMessage="1" sqref="H12">
      <formula1>$N$23:$N$27</formula1>
    </dataValidation>
  </dataValidations>
  <pageMargins left="0.7" right="0.7" top="0.75" bottom="0.75" header="0.3" footer="0.3"/>
  <pageSetup orientation="portrait" r:id="rId1"/>
  <ignoredErrors>
    <ignoredError sqref="H4:H6 J9" 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33"/>
  <sheetViews>
    <sheetView topLeftCell="A11" zoomScaleNormal="100" workbookViewId="0">
      <selection activeCell="D20" sqref="D20:E25"/>
    </sheetView>
  </sheetViews>
  <sheetFormatPr baseColWidth="10" defaultColWidth="11.5" defaultRowHeight="15" x14ac:dyDescent="0.25"/>
  <cols>
    <col min="1" max="1" width="12.5" style="23" customWidth="1"/>
    <col min="2" max="2" width="6.625" style="23" customWidth="1"/>
    <col min="3" max="3" width="4.5" style="23" customWidth="1"/>
    <col min="4" max="4" width="11.5" style="23"/>
    <col min="5" max="5" width="14.375" style="23" customWidth="1"/>
    <col min="6" max="6" width="8.625" style="23" customWidth="1"/>
    <col min="7" max="7" width="16.875" style="23" customWidth="1"/>
    <col min="8" max="8" width="9.125" style="23" customWidth="1"/>
    <col min="9" max="9" width="13.375" style="23" customWidth="1"/>
    <col min="10" max="10" width="11.625" style="23" customWidth="1"/>
    <col min="11" max="11" width="11.5" style="23"/>
    <col min="12" max="12" width="6.5" style="23" hidden="1" customWidth="1"/>
    <col min="13" max="16384" width="11.5" style="23"/>
  </cols>
  <sheetData>
    <row r="1" spans="1:14" x14ac:dyDescent="0.25">
      <c r="L1" s="24" t="s">
        <v>28</v>
      </c>
    </row>
    <row r="2" spans="1:14" ht="15.75" thickBot="1" x14ac:dyDescent="0.3">
      <c r="A2" s="154" t="s">
        <v>29</v>
      </c>
      <c r="B2" s="154"/>
      <c r="C2" s="154"/>
      <c r="D2" s="154"/>
      <c r="E2" s="154"/>
      <c r="F2" s="154"/>
      <c r="G2" s="154"/>
      <c r="H2" s="154"/>
      <c r="I2" s="154"/>
      <c r="J2" s="154"/>
      <c r="L2" s="23" t="s">
        <v>2</v>
      </c>
    </row>
    <row r="3" spans="1:14" ht="24" customHeight="1" x14ac:dyDescent="0.25">
      <c r="A3" s="149" t="s">
        <v>30</v>
      </c>
      <c r="B3" s="150"/>
      <c r="C3" s="151"/>
      <c r="D3" s="2"/>
      <c r="E3" s="2"/>
      <c r="F3" s="2"/>
      <c r="G3" s="2"/>
      <c r="H3" s="2"/>
      <c r="I3" s="2"/>
      <c r="J3" s="3"/>
      <c r="L3" s="23" t="s">
        <v>3</v>
      </c>
    </row>
    <row r="4" spans="1:14" x14ac:dyDescent="0.25">
      <c r="A4" s="46" t="s">
        <v>28</v>
      </c>
      <c r="B4" s="27" t="str">
        <f>IF((A4="C1"),"CH4",IF((A4="C2"),"C2H6",IF((A4="C3"),"C3H8",IF((A4="iC4"),"C4H10",IF((A4="nC4"),"C4H10",IF((A4="iC5"),"C5H12",IF((A4="nC5"),"C5H12",IF((A4="nC6"),"C6H14",IF((A4="nC7"),"C7H16",IF((A4="Benceno"),"C6H6",IF((A4="Tolueno"),"C7H8",IF((OR((A4="o-xileno"),(A4="m-xileno"),(A4="p-xileno"))),"C8H10","---"))))))))))))</f>
        <v>---</v>
      </c>
      <c r="C4" s="28"/>
      <c r="D4" s="29"/>
      <c r="E4" s="44"/>
      <c r="F4" s="29">
        <f>IFERROR((E4/(SUM(E4:E9))),"---")</f>
        <v>0</v>
      </c>
      <c r="G4" s="29">
        <f>E4</f>
        <v>0</v>
      </c>
      <c r="H4" s="29">
        <f>IFERROR((G4/(SUM(G4:G9))),"---")</f>
        <v>0</v>
      </c>
      <c r="I4" s="29">
        <v>0</v>
      </c>
      <c r="J4" s="29">
        <f>IFERROR((I4/(SUM(I4:I9))),"---")</f>
        <v>0</v>
      </c>
      <c r="L4" s="23" t="s">
        <v>4</v>
      </c>
    </row>
    <row r="5" spans="1:14" x14ac:dyDescent="0.25">
      <c r="A5" s="46" t="s">
        <v>4</v>
      </c>
      <c r="B5" s="27" t="str">
        <f t="shared" ref="B5:B9" si="0">IF((A5="C1"),"CH4",IF((A5="C2"),"C2H6",IF((A5="C3"),"C3H8",IF((A5="iC4"),"C4H10",IF((A5="nC4"),"C4H10",IF((A5="iC5"),"C5H12",IF((A5="nC5"),"C5H12",IF((A5="nC6"),"C6H14",IF((A5="nC7"),"C7H16",IF((A5="Benceno"),"C6H6",IF((A5="Tolueno"),"C7H8",IF((OR((A5="o-xileno"),(A5="m-xileno"),(A5="p-xileno"))),"C8H10","---"))))))))))))</f>
        <v>C3H8</v>
      </c>
      <c r="C5" s="28"/>
      <c r="D5" s="29"/>
      <c r="E5" s="44">
        <v>5</v>
      </c>
      <c r="F5" s="29">
        <f>IFERROR((E5/(SUM(E4:E9))),"---")</f>
        <v>0.05</v>
      </c>
      <c r="G5" s="29">
        <f>E5</f>
        <v>5</v>
      </c>
      <c r="H5" s="29">
        <f>IFERROR((G5/(SUM(G4:G9))),"---")</f>
        <v>0.1111111111111111</v>
      </c>
      <c r="I5" s="29">
        <v>0</v>
      </c>
      <c r="J5" s="29">
        <f>IFERROR((I5/(SUM(I4:I9))),"---")</f>
        <v>0</v>
      </c>
      <c r="L5" s="23" t="s">
        <v>5</v>
      </c>
    </row>
    <row r="6" spans="1:14" x14ac:dyDescent="0.25">
      <c r="A6" s="46" t="s">
        <v>5</v>
      </c>
      <c r="B6" s="27" t="str">
        <f t="shared" si="0"/>
        <v>C4H10</v>
      </c>
      <c r="C6" s="28"/>
      <c r="D6" s="29"/>
      <c r="E6" s="44">
        <v>15</v>
      </c>
      <c r="F6" s="29">
        <f>IFERROR((E6/(SUM(E4:E9))),"---")</f>
        <v>0.15</v>
      </c>
      <c r="G6" s="29">
        <f>E6</f>
        <v>15</v>
      </c>
      <c r="H6" s="29">
        <f>IFERROR((G6/(SUM(G4:G9))),"---")</f>
        <v>0.33333333333333331</v>
      </c>
      <c r="I6" s="29">
        <v>0</v>
      </c>
      <c r="J6" s="29">
        <f>IFERROR((I6/(SUM(I4:I9))),"---")</f>
        <v>0</v>
      </c>
      <c r="L6" s="23" t="s">
        <v>6</v>
      </c>
    </row>
    <row r="7" spans="1:14" x14ac:dyDescent="0.25">
      <c r="A7" s="47" t="s">
        <v>6</v>
      </c>
      <c r="B7" s="8" t="str">
        <f t="shared" si="0"/>
        <v>C4H10</v>
      </c>
      <c r="C7" s="21" t="s">
        <v>0</v>
      </c>
      <c r="D7" s="4"/>
      <c r="E7" s="42">
        <v>25</v>
      </c>
      <c r="F7" s="4">
        <f>IFERROR((E7/(SUM(E4:E9))),"---")</f>
        <v>0.25</v>
      </c>
      <c r="G7" s="42">
        <v>24</v>
      </c>
      <c r="H7" s="4">
        <f>IFERROR((G7/(SUM(G4:G9))),"---")</f>
        <v>0.53333333333333333</v>
      </c>
      <c r="I7" s="42">
        <v>1</v>
      </c>
      <c r="J7" s="4">
        <f>IFERROR((I7/(SUM(I4:I9))),"---")</f>
        <v>1.8181818181818181E-2</v>
      </c>
      <c r="L7" s="23" t="s">
        <v>7</v>
      </c>
    </row>
    <row r="8" spans="1:14" x14ac:dyDescent="0.25">
      <c r="A8" s="48" t="s">
        <v>7</v>
      </c>
      <c r="B8" s="9" t="str">
        <f t="shared" si="0"/>
        <v>C5H12</v>
      </c>
      <c r="C8" s="22" t="s">
        <v>1</v>
      </c>
      <c r="D8" s="6"/>
      <c r="E8" s="43">
        <v>20</v>
      </c>
      <c r="F8" s="6">
        <f>IFERROR((E8/(SUM(E4:E9))),"---")</f>
        <v>0.2</v>
      </c>
      <c r="G8" s="43">
        <v>1</v>
      </c>
      <c r="H8" s="6">
        <f>IFERROR((G8/(SUM(G4:G9))),"---")</f>
        <v>2.2222222222222223E-2</v>
      </c>
      <c r="I8" s="43">
        <v>19</v>
      </c>
      <c r="J8" s="6">
        <f>IFERROR((I8/(SUM(I4:I9))),"---")</f>
        <v>0.34545454545454546</v>
      </c>
      <c r="L8" s="23" t="s">
        <v>8</v>
      </c>
    </row>
    <row r="9" spans="1:14" ht="15.75" thickBot="1" x14ac:dyDescent="0.3">
      <c r="A9" s="49" t="s">
        <v>8</v>
      </c>
      <c r="B9" s="31" t="str">
        <f t="shared" si="0"/>
        <v>C5H12</v>
      </c>
      <c r="C9" s="32"/>
      <c r="D9" s="33"/>
      <c r="E9" s="45">
        <v>35</v>
      </c>
      <c r="F9" s="33">
        <f>IFERROR((E9/(SUM(E4:E9))),"---")</f>
        <v>0.35</v>
      </c>
      <c r="G9" s="33">
        <v>0</v>
      </c>
      <c r="H9" s="33">
        <f>IFERROR((G9/(SUM(G4:G9))),"---")</f>
        <v>0</v>
      </c>
      <c r="I9" s="33">
        <f>E9</f>
        <v>35</v>
      </c>
      <c r="J9" s="33">
        <f>IFERROR((I9/(SUM(I4:I9))),"---")</f>
        <v>0.63636363636363635</v>
      </c>
      <c r="L9" s="23" t="s">
        <v>9</v>
      </c>
    </row>
    <row r="10" spans="1:14" ht="15.75" thickBot="1" x14ac:dyDescent="0.3">
      <c r="L10" s="23" t="s">
        <v>10</v>
      </c>
    </row>
    <row r="11" spans="1:14" x14ac:dyDescent="0.25">
      <c r="E11" s="145" t="s">
        <v>16</v>
      </c>
      <c r="F11" s="146"/>
      <c r="G11" s="146"/>
      <c r="H11" s="146"/>
      <c r="I11" s="146"/>
      <c r="J11" s="147"/>
      <c r="L11" s="23" t="s">
        <v>11</v>
      </c>
    </row>
    <row r="12" spans="1:14" x14ac:dyDescent="0.25">
      <c r="E12" s="10" t="s">
        <v>17</v>
      </c>
      <c r="F12" s="12" t="s">
        <v>28</v>
      </c>
      <c r="G12" s="11" t="s">
        <v>27</v>
      </c>
      <c r="H12" s="12" t="s">
        <v>23</v>
      </c>
      <c r="I12" s="19" t="str">
        <f>IFERROR(IF((G12="Pa"),(F12*0.00001),IF((G12="bar"),F12,IF((G12="psi"),(((0.00001)/(0.0001450377377))*F12),IF((G12="atm"),(((10)/(9.869232667))*F12),"---")))),"---")</f>
        <v>---</v>
      </c>
      <c r="J12" s="13" t="s">
        <v>24</v>
      </c>
      <c r="L12" s="23" t="s">
        <v>12</v>
      </c>
    </row>
    <row r="13" spans="1:14" ht="15.75" thickBot="1" x14ac:dyDescent="0.3">
      <c r="E13" s="14" t="s">
        <v>18</v>
      </c>
      <c r="F13" s="15">
        <v>120</v>
      </c>
      <c r="G13" s="16" t="s">
        <v>20</v>
      </c>
      <c r="H13" s="17" t="s">
        <v>23</v>
      </c>
      <c r="I13" s="20">
        <f>IF((G13="°C"),F13,IF((G13="°F"),((5/9)*(F13-32)),IF((G13="K"),(F13-273.15),IF((G13="°R"),(((5/9)*F13)-273.15),"---"))))</f>
        <v>120</v>
      </c>
      <c r="J13" s="18" t="s">
        <v>20</v>
      </c>
      <c r="L13" s="23" t="s">
        <v>13</v>
      </c>
    </row>
    <row r="14" spans="1:14" ht="15.75" thickBot="1" x14ac:dyDescent="0.3">
      <c r="L14" s="23" t="s">
        <v>14</v>
      </c>
      <c r="M14" s="144" t="s">
        <v>32</v>
      </c>
      <c r="N14" s="144"/>
    </row>
    <row r="15" spans="1:14" x14ac:dyDescent="0.25">
      <c r="L15" s="23" t="s">
        <v>15</v>
      </c>
      <c r="M15" s="36" t="str">
        <f t="shared" ref="M15:M20" si="1">A4</f>
        <v>---</v>
      </c>
      <c r="N15" s="26">
        <f>H4</f>
        <v>0</v>
      </c>
    </row>
    <row r="16" spans="1:14" x14ac:dyDescent="0.25">
      <c r="M16" s="37" t="str">
        <f t="shared" si="1"/>
        <v>C3</v>
      </c>
      <c r="N16" s="30">
        <f t="shared" ref="N16:N20" si="2">H5</f>
        <v>0.1111111111111111</v>
      </c>
    </row>
    <row r="17" spans="4:14" x14ac:dyDescent="0.25">
      <c r="L17" s="23" t="s">
        <v>19</v>
      </c>
      <c r="M17" s="37" t="str">
        <f t="shared" si="1"/>
        <v>iC4</v>
      </c>
      <c r="N17" s="30">
        <f t="shared" si="2"/>
        <v>0.33333333333333331</v>
      </c>
    </row>
    <row r="18" spans="4:14" x14ac:dyDescent="0.25">
      <c r="L18" s="23" t="s">
        <v>20</v>
      </c>
      <c r="M18" s="41" t="str">
        <f t="shared" si="1"/>
        <v>nC4</v>
      </c>
      <c r="N18" s="5">
        <f t="shared" si="2"/>
        <v>0.53333333333333333</v>
      </c>
    </row>
    <row r="19" spans="4:14" ht="15.75" thickBot="1" x14ac:dyDescent="0.3">
      <c r="D19" s="144" t="s">
        <v>31</v>
      </c>
      <c r="E19" s="144"/>
      <c r="L19" s="23" t="s">
        <v>21</v>
      </c>
      <c r="M19" s="40" t="str">
        <f t="shared" si="1"/>
        <v>iC5</v>
      </c>
      <c r="N19" s="7">
        <f t="shared" si="2"/>
        <v>2.2222222222222223E-2</v>
      </c>
    </row>
    <row r="20" spans="4:14" ht="15.75" thickBot="1" x14ac:dyDescent="0.3">
      <c r="D20" s="36" t="str">
        <f>A4</f>
        <v>---</v>
      </c>
      <c r="E20" s="26">
        <f>F4</f>
        <v>0</v>
      </c>
      <c r="L20" s="23" t="s">
        <v>22</v>
      </c>
      <c r="M20" s="38" t="str">
        <f t="shared" si="1"/>
        <v>nC5</v>
      </c>
      <c r="N20" s="34">
        <f t="shared" si="2"/>
        <v>0</v>
      </c>
    </row>
    <row r="21" spans="4:14" x14ac:dyDescent="0.25">
      <c r="D21" s="37" t="str">
        <f t="shared" ref="D21:D25" si="3">A5</f>
        <v>C3</v>
      </c>
      <c r="E21" s="30">
        <f t="shared" ref="E21:E24" si="4">F5</f>
        <v>0.05</v>
      </c>
      <c r="M21" s="23" t="s">
        <v>34</v>
      </c>
      <c r="N21" s="23">
        <f>SUM(G4:G9)</f>
        <v>45</v>
      </c>
    </row>
    <row r="22" spans="4:14" x14ac:dyDescent="0.25">
      <c r="D22" s="37" t="str">
        <f t="shared" si="3"/>
        <v>iC4</v>
      </c>
      <c r="E22" s="30">
        <f t="shared" si="4"/>
        <v>0.15</v>
      </c>
      <c r="L22" s="23" t="s">
        <v>24</v>
      </c>
    </row>
    <row r="23" spans="4:14" x14ac:dyDescent="0.25">
      <c r="D23" s="41" t="str">
        <f t="shared" si="3"/>
        <v>nC4</v>
      </c>
      <c r="E23" s="5">
        <f t="shared" si="4"/>
        <v>0.25</v>
      </c>
      <c r="L23" s="23" t="s">
        <v>25</v>
      </c>
    </row>
    <row r="24" spans="4:14" x14ac:dyDescent="0.25">
      <c r="D24" s="40" t="str">
        <f t="shared" si="3"/>
        <v>iC5</v>
      </c>
      <c r="E24" s="7">
        <f t="shared" si="4"/>
        <v>0.2</v>
      </c>
      <c r="L24" s="23" t="s">
        <v>26</v>
      </c>
    </row>
    <row r="25" spans="4:14" ht="15.75" thickBot="1" x14ac:dyDescent="0.3">
      <c r="D25" s="38" t="str">
        <f t="shared" si="3"/>
        <v>nC5</v>
      </c>
      <c r="E25" s="34">
        <f>F9</f>
        <v>0.35</v>
      </c>
      <c r="L25" s="23" t="s">
        <v>27</v>
      </c>
    </row>
    <row r="26" spans="4:14" ht="15.75" thickBot="1" x14ac:dyDescent="0.3">
      <c r="D26" s="23" t="s">
        <v>33</v>
      </c>
      <c r="E26" s="23">
        <f>SUM(E4:E9)</f>
        <v>100</v>
      </c>
      <c r="M26" s="144" t="s">
        <v>35</v>
      </c>
      <c r="N26" s="144"/>
    </row>
    <row r="27" spans="4:14" x14ac:dyDescent="0.25">
      <c r="M27" s="36" t="str">
        <f>A4</f>
        <v>---</v>
      </c>
      <c r="N27" s="26">
        <f>J4</f>
        <v>0</v>
      </c>
    </row>
    <row r="28" spans="4:14" x14ac:dyDescent="0.25">
      <c r="M28" s="37" t="str">
        <f t="shared" ref="M28:M32" si="5">A5</f>
        <v>C3</v>
      </c>
      <c r="N28" s="30">
        <f t="shared" ref="N28:N32" si="6">J5</f>
        <v>0</v>
      </c>
    </row>
    <row r="29" spans="4:14" x14ac:dyDescent="0.25">
      <c r="M29" s="37" t="str">
        <f t="shared" si="5"/>
        <v>iC4</v>
      </c>
      <c r="N29" s="30">
        <f t="shared" si="6"/>
        <v>0</v>
      </c>
    </row>
    <row r="30" spans="4:14" x14ac:dyDescent="0.25">
      <c r="M30" s="41" t="str">
        <f t="shared" si="5"/>
        <v>nC4</v>
      </c>
      <c r="N30" s="5">
        <f t="shared" si="6"/>
        <v>1.8181818181818181E-2</v>
      </c>
    </row>
    <row r="31" spans="4:14" x14ac:dyDescent="0.25">
      <c r="M31" s="40" t="str">
        <f t="shared" si="5"/>
        <v>iC5</v>
      </c>
      <c r="N31" s="7">
        <f t="shared" si="6"/>
        <v>0.34545454545454546</v>
      </c>
    </row>
    <row r="32" spans="4:14" ht="15.75" thickBot="1" x14ac:dyDescent="0.3">
      <c r="M32" s="38" t="str">
        <f t="shared" si="5"/>
        <v>nC5</v>
      </c>
      <c r="N32" s="34">
        <f t="shared" si="6"/>
        <v>0.63636363636363635</v>
      </c>
    </row>
    <row r="33" spans="13:14" x14ac:dyDescent="0.25">
      <c r="M33" s="23" t="s">
        <v>34</v>
      </c>
      <c r="N33" s="23">
        <f>SUM(I4:I9)</f>
        <v>55</v>
      </c>
    </row>
  </sheetData>
  <mergeCells count="6">
    <mergeCell ref="M26:N26"/>
    <mergeCell ref="A2:J2"/>
    <mergeCell ref="A3:C3"/>
    <mergeCell ref="E11:J11"/>
    <mergeCell ref="M14:N14"/>
    <mergeCell ref="D19:E19"/>
  </mergeCells>
  <dataValidations count="3">
    <dataValidation type="list" allowBlank="1" showInputMessage="1" showErrorMessage="1" sqref="A4:A9">
      <formula1>$L$1:$L$15</formula1>
    </dataValidation>
    <dataValidation type="list" allowBlank="1" showInputMessage="1" showErrorMessage="1" sqref="G12">
      <formula1>$L$22:$L$25</formula1>
    </dataValidation>
    <dataValidation type="list" allowBlank="1" showInputMessage="1" showErrorMessage="1" sqref="G13">
      <formula1>$L$17:$L$20</formula1>
    </dataValidation>
  </dataValidations>
  <pageMargins left="0.7" right="0.7" top="0.75" bottom="0.75" header="0.3" footer="0.3"/>
  <pageSetup orientation="portrait" r:id="rId1"/>
  <ignoredErrors>
    <ignoredError sqref="G4:G6 I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7:W104"/>
  <sheetViews>
    <sheetView topLeftCell="A78" zoomScale="70" zoomScaleNormal="70" workbookViewId="0">
      <selection activeCell="F10" sqref="F10"/>
    </sheetView>
  </sheetViews>
  <sheetFormatPr baseColWidth="10" defaultColWidth="11.5" defaultRowHeight="15" x14ac:dyDescent="0.25"/>
  <cols>
    <col min="1" max="1" width="8.875" style="23" customWidth="1"/>
    <col min="2" max="2" width="31.125" style="23" customWidth="1"/>
    <col min="3" max="6" width="11.5" style="23"/>
    <col min="7" max="7" width="12.625" style="23" customWidth="1"/>
    <col min="8" max="16384" width="11.5" style="23"/>
  </cols>
  <sheetData>
    <row r="7" spans="5:6" ht="15" customHeight="1" x14ac:dyDescent="0.25"/>
    <row r="8" spans="5:6" ht="15.75" thickBot="1" x14ac:dyDescent="0.3"/>
    <row r="9" spans="5:6" ht="18" x14ac:dyDescent="0.35">
      <c r="E9" s="97" t="s">
        <v>67</v>
      </c>
      <c r="F9" s="98">
        <f>IFERROR(((LOG10((Parametrización!I7/Parametrización!I8)*(Parametrización!K8/Parametrización!K7)))/(LOG10(Parametrización!E7))),"---")</f>
        <v>8.8328900141647413</v>
      </c>
    </row>
    <row r="10" spans="5:6" ht="15.75" thickBot="1" x14ac:dyDescent="0.3">
      <c r="E10" s="99"/>
      <c r="F10" s="95">
        <f>IFERROR((ROUNDUP((F9),0)),"---")</f>
        <v>9</v>
      </c>
    </row>
    <row r="21" spans="1:10" ht="15.75" thickBot="1" x14ac:dyDescent="0.3"/>
    <row r="22" spans="1:10" x14ac:dyDescent="0.25">
      <c r="A22" s="157" t="s">
        <v>62</v>
      </c>
      <c r="B22" s="158"/>
      <c r="C22" s="158"/>
      <c r="D22" s="158"/>
      <c r="E22" s="159"/>
      <c r="F22" s="74"/>
      <c r="G22" s="155" t="s">
        <v>56</v>
      </c>
      <c r="H22" s="160"/>
      <c r="I22" s="160"/>
      <c r="J22" s="156"/>
    </row>
    <row r="23" spans="1:10" ht="18" x14ac:dyDescent="0.35">
      <c r="A23" s="71" t="s">
        <v>53</v>
      </c>
      <c r="B23" s="70" t="s">
        <v>54</v>
      </c>
      <c r="C23" s="70" t="s">
        <v>55</v>
      </c>
      <c r="D23" s="68" t="s">
        <v>59</v>
      </c>
      <c r="E23" s="69" t="s">
        <v>60</v>
      </c>
      <c r="F23" s="73"/>
      <c r="G23" s="37" t="s">
        <v>57</v>
      </c>
      <c r="H23" s="29">
        <f>Parametrización!C12</f>
        <v>1</v>
      </c>
      <c r="I23" s="29"/>
      <c r="J23" s="30">
        <f>Parametrización!I4</f>
        <v>0</v>
      </c>
    </row>
    <row r="24" spans="1:10" ht="18" x14ac:dyDescent="0.35">
      <c r="A24" s="72">
        <v>1</v>
      </c>
      <c r="B24" s="29">
        <f>H24</f>
        <v>1.05</v>
      </c>
      <c r="C24" s="29">
        <f>B24-(((IFERROR(((H25*H31)/(H25-B24)),0))+(IFERROR(((H26*H32)/(H26-B24)),0))+(IFERROR(((H27*H33)/(H27-B24)),0))+(IFERROR(((H28*H34)/(H28-B24)),0))+(IFERROR(((H29*H35)/(H29-B24)),0))+(IFERROR(((H30*H36)/(H30-B24)),0))-1+H23)/((IFERROR(((H25*H31)/((H25-B24)^2)),0))+(IFERROR(((H26*H32)/((H26-B24)^2)),0))+(IFERROR(((H27*H33)/((H27-B24)^2)),0))+(IFERROR(((H28*H34)/((H28-B24)^2)),0))+(IFERROR(((H29*H35)/((H29-B24)^2)),0))+(IFERROR(((H30*H36)/((H30-B24)^2)),0))))</f>
        <v>1.1026969149040702</v>
      </c>
      <c r="D24" s="29">
        <f>ABS(B24-C24)</f>
        <v>5.2696914904070136E-2</v>
      </c>
      <c r="E24" s="75">
        <f>D24</f>
        <v>5.2696914904070136E-2</v>
      </c>
      <c r="F24" s="35"/>
      <c r="G24" s="37" t="s">
        <v>58</v>
      </c>
      <c r="H24" s="29">
        <f>IFERROR((Parametrización!E8+0.05),"---")</f>
        <v>1.05</v>
      </c>
      <c r="I24" s="29"/>
      <c r="J24" s="30">
        <f>Parametrización!I5</f>
        <v>0.1111111111111111</v>
      </c>
    </row>
    <row r="25" spans="1:10" x14ac:dyDescent="0.25">
      <c r="A25" s="72">
        <v>2</v>
      </c>
      <c r="B25" s="29">
        <f>C24</f>
        <v>1.1026969149040702</v>
      </c>
      <c r="C25" s="29">
        <f>B25-(((IFERROR(((H25*H31)/(H25-B25)),0))+(IFERROR(((H26*H32)/(H26-B25)),0))+(IFERROR(((H27*H33)/(H27-B25)),0))+(IFERROR(((H28*H34)/(H28-B25)),0))+(IFERROR(((H29*H35)/(H29-B25)),0))+(IFERROR(((H30*H36)/(H30-B25)),0))-1+H23)/((IFERROR(((H25*H31)/((H25-B25)^2)),0))+(IFERROR(((H26*H32)/((H26-B25)^2)),0))+(IFERROR(((H27*H33)/((H27-B25)^2)),0))+(IFERROR(((H28*H34)/((H28-B25)^2)),0))+(IFERROR(((H29*H35)/((H29-B25)^2)),0))+(IFERROR(((H30*H36)/((H30-B25)^2)),0))))</f>
        <v>1.1944937391641905</v>
      </c>
      <c r="D25" s="29">
        <f>ABS(B25-C25)</f>
        <v>9.1796824260120369E-2</v>
      </c>
      <c r="E25" s="75">
        <f t="shared" ref="E25:E38" si="0">D25</f>
        <v>9.1796824260120369E-2</v>
      </c>
      <c r="F25" s="35"/>
      <c r="G25" s="37"/>
      <c r="H25" s="29">
        <f>Parametrización!E4</f>
        <v>0</v>
      </c>
      <c r="I25" s="29"/>
      <c r="J25" s="30">
        <f>Parametrización!I6</f>
        <v>0.33333333333333331</v>
      </c>
    </row>
    <row r="26" spans="1:10" x14ac:dyDescent="0.25">
      <c r="A26" s="72">
        <v>3</v>
      </c>
      <c r="B26" s="29">
        <f>C25</f>
        <v>1.1944937391641905</v>
      </c>
      <c r="C26" s="29">
        <f>B26-(((IFERROR(((H25*H31)/(H25-B26)),0))+(IFERROR(((H26*H32)/(H26-B26)),0))+(IFERROR(((H27*H33)/(H27-B26)),0))+(IFERROR(((H28*H34)/(H28-B26)),0))+(IFERROR(((H29*H35)/(H29-B26)),0))+(IFERROR(((H30*H36)/(H30-B26)),0))-1+H23)/((IFERROR(((H25*H31)/((H25-B26)^2)),0))+(IFERROR(((H26*H32)/((H26-B26)^2)),0))+(IFERROR(((H27*H33)/((H27-B26)^2)),0))+(IFERROR(((H28*H34)/((H28-B26)^2)),0))+(IFERROR(((H29*H35)/((H29-B26)^2)),0))+(IFERROR(((H30*H36)/((H30-B26)^2)),0))))</f>
        <v>1.3001971355243307</v>
      </c>
      <c r="D26" s="29">
        <f t="shared" ref="D26:D38" si="1">ABS(B26-C26)</f>
        <v>0.10570339636014014</v>
      </c>
      <c r="E26" s="75">
        <f t="shared" si="0"/>
        <v>0.10570339636014014</v>
      </c>
      <c r="F26" s="35"/>
      <c r="G26" s="37"/>
      <c r="H26" s="29">
        <f>Parametrización!E5</f>
        <v>5</v>
      </c>
      <c r="I26" s="29"/>
      <c r="J26" s="30">
        <f>Parametrización!I7</f>
        <v>0.53333333333333333</v>
      </c>
    </row>
    <row r="27" spans="1:10" x14ac:dyDescent="0.25">
      <c r="A27" s="72">
        <v>4</v>
      </c>
      <c r="B27" s="29">
        <f t="shared" ref="B27:B38" si="2">C26</f>
        <v>1.3001971355243307</v>
      </c>
      <c r="C27" s="29">
        <f>B27-(((IFERROR(((H25*H31)/(H25-B27)),0))+(IFERROR(((H26*H32)/(H26-B27)),0))+(IFERROR(((H27*H33)/(H27-B27)),0))+(IFERROR(((H28*H34)/(H28-B27)),0))+(IFERROR(((H29*H35)/(H29-B27)),0))+(IFERROR(((H30*H36)/(H30-B27)),0))-1+H23)/((IFERROR(((H25*H31)/((H25-B27)^2)),0))+(IFERROR(((H26*H32)/((H26-B27)^2)),0))+(IFERROR(((H27*H33)/((H27-B27)^2)),0))+(IFERROR(((H28*H34)/((H28-B27)^2)),0))+(IFERROR(((H29*H35)/((H29-B27)^2)),0))+(IFERROR(((H30*H36)/((H30-B27)^2)),0))))</f>
        <v>1.3496090874253559</v>
      </c>
      <c r="D27" s="29">
        <f t="shared" si="1"/>
        <v>4.9411951901025208E-2</v>
      </c>
      <c r="E27" s="75">
        <f t="shared" si="0"/>
        <v>4.9411951901025208E-2</v>
      </c>
      <c r="F27" s="35"/>
      <c r="G27" s="37"/>
      <c r="H27" s="29">
        <f>Parametrización!E6</f>
        <v>2.6</v>
      </c>
      <c r="I27" s="29"/>
      <c r="J27" s="30">
        <f>Parametrización!I8</f>
        <v>2.2222222222222223E-2</v>
      </c>
    </row>
    <row r="28" spans="1:10" x14ac:dyDescent="0.25">
      <c r="A28" s="72">
        <v>5</v>
      </c>
      <c r="B28" s="29">
        <f t="shared" si="2"/>
        <v>1.3496090874253559</v>
      </c>
      <c r="C28" s="29">
        <f>B28-(((IFERROR(((H25*H31)/(H25-B28)),0))+(IFERROR(((H26*H32)/(H26-B28)),0))+(IFERROR(((H27*H33)/(H27-B28)),0))+(IFERROR(((H28*H34)/(H28-B28)),0))+(IFERROR(((H29*H35)/(H29-B28)),0))+(IFERROR(((H30*H36)/(H30-B28)),0))-1+H23)/((IFERROR(((H25*H31)/((H25-B28)^2)),0))+(IFERROR(((H26*H32)/((H26-B28)^2)),0))+(IFERROR(((H27*H33)/((H27-B28)^2)),0))+(IFERROR(((H28*H34)/((H28-B28)^2)),0))+(IFERROR(((H29*H35)/((H29-B28)^2)),0))+(IFERROR(((H30*H36)/((H30-B28)^2)),0))))</f>
        <v>1.3539042502150751</v>
      </c>
      <c r="D28" s="29">
        <f t="shared" si="1"/>
        <v>4.295162789719198E-3</v>
      </c>
      <c r="E28" s="75">
        <f t="shared" si="0"/>
        <v>4.295162789719198E-3</v>
      </c>
      <c r="F28" s="35"/>
      <c r="G28" s="37"/>
      <c r="H28" s="29">
        <f>Parametrización!E7</f>
        <v>2</v>
      </c>
      <c r="I28" s="29"/>
      <c r="J28" s="30">
        <f>Parametrización!I9</f>
        <v>0</v>
      </c>
    </row>
    <row r="29" spans="1:10" x14ac:dyDescent="0.25">
      <c r="A29" s="72">
        <v>6</v>
      </c>
      <c r="B29" s="29">
        <f t="shared" si="2"/>
        <v>1.3539042502150751</v>
      </c>
      <c r="C29" s="29">
        <f>B29-(((IFERROR(((H25*H31)/(H25-B29)),0))+(IFERROR(((H26*H32)/(H26-B29)),0))+(IFERROR(((H27*H33)/(H27-B29)),0))+(IFERROR(((H28*H34)/(H28-B29)),0))+(IFERROR(((H29*H35)/(H29-B29)),0))+(IFERROR(((H30*H36)/(H30-B29)),0))-1+H23)/((IFERROR(((H25*H31)/((H25-B29)^2)),0))+(IFERROR(((H26*H32)/((H26-B29)^2)),0))+(IFERROR(((H27*H33)/((H27-B29)^2)),0))+(IFERROR(((H28*H34)/((H28-B29)^2)),0))+(IFERROR(((H29*H35)/((H29-B29)^2)),0))+(IFERROR(((H30*H36)/((H30-B29)^2)),0))))</f>
        <v>1.3539258247848436</v>
      </c>
      <c r="D29" s="29">
        <f t="shared" si="1"/>
        <v>2.1574569768478824E-5</v>
      </c>
      <c r="E29" s="75">
        <f t="shared" si="0"/>
        <v>2.1574569768478824E-5</v>
      </c>
      <c r="F29" s="35"/>
      <c r="G29" s="37"/>
      <c r="H29" s="29">
        <f>Parametrización!E8</f>
        <v>1</v>
      </c>
      <c r="I29" s="29"/>
      <c r="J29" s="30"/>
    </row>
    <row r="30" spans="1:10" x14ac:dyDescent="0.25">
      <c r="A30" s="72">
        <v>7</v>
      </c>
      <c r="B30" s="29">
        <f t="shared" si="2"/>
        <v>1.3539258247848436</v>
      </c>
      <c r="C30" s="29">
        <f>B30-(((IFERROR(((H25*H31)/(H25-B30)),0))+(IFERROR(((H26*H32)/(H26-B30)),0))+(IFERROR(((H27*H33)/(H27-B30)),0))+(IFERROR(((H28*H34)/(H28-B30)),0))+(IFERROR(((H29*H35)/(H29-B30)),0))+(IFERROR(((H30*H36)/(H30-B30)),0))-1+H23)/((IFERROR(((H25*H31)/((H25-B30)^2)),0))+(IFERROR(((H26*H32)/((H26-B30)^2)),0))+(IFERROR(((H27*H33)/((H27-B30)^2)),0))+(IFERROR(((H28*H34)/((H28-B30)^2)),0))+(IFERROR(((H29*H35)/((H29-B30)^2)),0))+(IFERROR(((H30*H36)/((H30-B30)^2)),0))))</f>
        <v>1.353925825309654</v>
      </c>
      <c r="D30" s="29">
        <f t="shared" si="1"/>
        <v>5.248104173460888E-10</v>
      </c>
      <c r="E30" s="75">
        <f t="shared" si="0"/>
        <v>5.248104173460888E-10</v>
      </c>
      <c r="F30" s="35"/>
      <c r="G30" s="37"/>
      <c r="H30" s="29">
        <f>Parametrización!E9</f>
        <v>0.85</v>
      </c>
      <c r="I30" s="29"/>
      <c r="J30" s="30"/>
    </row>
    <row r="31" spans="1:10" x14ac:dyDescent="0.25">
      <c r="A31" s="72">
        <v>8</v>
      </c>
      <c r="B31" s="29">
        <f t="shared" si="2"/>
        <v>1.353925825309654</v>
      </c>
      <c r="C31" s="29">
        <f>B31-(((IFERROR(((H25*H31)/(H25-B31)),0))+(IFERROR(((H26*H32)/(H26-B31)),0))+(IFERROR(((H27*H33)/(H27-B31)),0))+(IFERROR(((H28*H34)/(H28-B31)),0))+(IFERROR(((H29*H35)/(H29-B31)),0))+(IFERROR(((H30*H36)/(H30-B31)),0))-1+H23)/((IFERROR(((H25*H31)/((H25-B31)^2)),0))+(IFERROR(((H26*H32)/((H26-B31)^2)),0))+(IFERROR(((H27*H33)/((H27-B31)^2)),0))+(IFERROR(((H28*H34)/((H28-B31)^2)),0))+(IFERROR(((H29*H35)/((H29-B31)^2)),0))+(IFERROR(((H30*H36)/((H30-B31)^2)),0))))</f>
        <v>1.353925825309654</v>
      </c>
      <c r="D31" s="29">
        <f t="shared" si="1"/>
        <v>0</v>
      </c>
      <c r="E31" s="75">
        <f t="shared" si="0"/>
        <v>0</v>
      </c>
      <c r="F31" s="35"/>
      <c r="G31" s="37"/>
      <c r="H31" s="29">
        <f>Parametrización!G4</f>
        <v>0</v>
      </c>
      <c r="I31" s="29"/>
      <c r="J31" s="30"/>
    </row>
    <row r="32" spans="1:10" x14ac:dyDescent="0.25">
      <c r="A32" s="72">
        <v>9</v>
      </c>
      <c r="B32" s="29">
        <f t="shared" si="2"/>
        <v>1.353925825309654</v>
      </c>
      <c r="C32" s="29">
        <f>B32-(((IFERROR(((H25*H31)/(H25-B32)),0))+(IFERROR(((H26*H32)/(H26-B32)),0))+(IFERROR(((H27*H33)/(H27-B32)),0))+(IFERROR(((H28*H34)/(H28-B32)),0))+(IFERROR(((H29*H35)/(H29-B32)),0))+(IFERROR(((H30*H36)/(H30-B32)),0))-1+H23)/((IFERROR(((H25*H31)/((H25-B32)^2)),0))+(IFERROR(((H26*H32)/((H26-B32)^2)),0))+(IFERROR(((H27*H33)/((H27-B32)^2)),0))+(IFERROR(((H28*H34)/((H28-B32)^2)),0))+(IFERROR(((H29*H35)/((H29-B32)^2)),0))+(IFERROR(((H30*H36)/((H30-B32)^2)),0))))</f>
        <v>1.353925825309654</v>
      </c>
      <c r="D32" s="29">
        <f t="shared" si="1"/>
        <v>0</v>
      </c>
      <c r="E32" s="75">
        <f t="shared" si="0"/>
        <v>0</v>
      </c>
      <c r="F32" s="35"/>
      <c r="G32" s="37"/>
      <c r="H32" s="29">
        <f>Parametrización!G5</f>
        <v>0.05</v>
      </c>
      <c r="I32" s="29"/>
      <c r="J32" s="30"/>
    </row>
    <row r="33" spans="1:23" x14ac:dyDescent="0.25">
      <c r="A33" s="72">
        <v>10</v>
      </c>
      <c r="B33" s="29">
        <f t="shared" si="2"/>
        <v>1.353925825309654</v>
      </c>
      <c r="C33" s="29">
        <f>B33-(((IFERROR(((H25*H31)/(H25-B33)),0))+(IFERROR(((H26*H32)/(H26-B33)),0))+(IFERROR(((H27*H33)/(H27-B33)),0))+(IFERROR(((H28*H34)/(H28-B33)),0))+(IFERROR(((H29*H35)/(H29-B33)),0))+(IFERROR(((H30*H36)/(H30-B33)),0))-1+H23)/((IFERROR(((H25*H31)/((H25-B33)^2)),0))+(IFERROR(((H26*H32)/((H26-B33)^2)),0))+(IFERROR(((H27*H33)/((H27-B33)^2)),0))+(IFERROR(((H28*H34)/((H28-B33)^2)),0))+(IFERROR(((H29*H35)/((H29-B33)^2)),0))+(IFERROR(((H30*H36)/((H30-B33)^2)),0))))</f>
        <v>1.353925825309654</v>
      </c>
      <c r="D33" s="29">
        <f t="shared" si="1"/>
        <v>0</v>
      </c>
      <c r="E33" s="75">
        <f t="shared" si="0"/>
        <v>0</v>
      </c>
      <c r="F33" s="35"/>
      <c r="G33" s="37"/>
      <c r="H33" s="29">
        <f>Parametrización!G6</f>
        <v>0.15</v>
      </c>
      <c r="I33" s="29"/>
      <c r="J33" s="30"/>
    </row>
    <row r="34" spans="1:23" x14ac:dyDescent="0.25">
      <c r="A34" s="72">
        <v>11</v>
      </c>
      <c r="B34" s="29">
        <f t="shared" si="2"/>
        <v>1.353925825309654</v>
      </c>
      <c r="C34" s="29">
        <f>B34-(((IFERROR(((H25*H31)/(H25-B34)),0))+(IFERROR(((H26*H32)/(H26-B34)),0))+(IFERROR(((H27*H33)/(H27-B34)),0))+(IFERROR(((H28*H34)/(H28-B34)),0))+(IFERROR(((H29*H35)/(H29-B34)),0))+(IFERROR(((H30*H36)/(H30-B34)),0))-1+H23)/((IFERROR(((H25*H31)/((H25-B34)^2)),0))+(IFERROR(((H26*H32)/((H26-B34)^2)),0))+(IFERROR(((H27*H33)/((H27-B34)^2)),0))+(IFERROR(((H28*H34)/((H28-B34)^2)),0))+(IFERROR(((H29*H35)/((H29-B34)^2)),0))+(IFERROR(((H30*H36)/((H30-B34)^2)),0))))</f>
        <v>1.353925825309654</v>
      </c>
      <c r="D34" s="29">
        <f t="shared" si="1"/>
        <v>0</v>
      </c>
      <c r="E34" s="75">
        <f t="shared" si="0"/>
        <v>0</v>
      </c>
      <c r="F34" s="35"/>
      <c r="G34" s="37"/>
      <c r="H34" s="29">
        <f>Parametrización!G7</f>
        <v>0.25</v>
      </c>
      <c r="I34" s="29"/>
      <c r="J34" s="30"/>
    </row>
    <row r="35" spans="1:23" x14ac:dyDescent="0.25">
      <c r="A35" s="72">
        <v>12</v>
      </c>
      <c r="B35" s="29">
        <f t="shared" si="2"/>
        <v>1.353925825309654</v>
      </c>
      <c r="C35" s="29">
        <f>B35-(((IFERROR(((H25*H31)/(H25-B35)),0))+(IFERROR(((H26*H32)/(H26-B35)),0))+(IFERROR(((H27*H33)/(H27-B35)),0))+(IFERROR(((H28*H34)/(H28-B35)),0))+(IFERROR(((H29*H35)/(H29-B35)),0))+(IFERROR(((H30*H36)/(H30-B35)),0))-1+H23)/((IFERROR(((H25*H31)/((H25-B35)^2)),0))+(IFERROR(((H26*H32)/((H26-B35)^2)),0))+(IFERROR(((H27*H33)/((H27-B35)^2)),0))+(IFERROR(((H28*H34)/((H28-B35)^2)),0))+(IFERROR(((H29*H35)/((H29-B35)^2)),0))+(IFERROR(((H30*H36)/((H30-B35)^2)),0))))</f>
        <v>1.353925825309654</v>
      </c>
      <c r="D35" s="29">
        <f t="shared" si="1"/>
        <v>0</v>
      </c>
      <c r="E35" s="75">
        <f t="shared" si="0"/>
        <v>0</v>
      </c>
      <c r="F35" s="35"/>
      <c r="G35" s="37"/>
      <c r="H35" s="29">
        <f>Parametrización!G8</f>
        <v>0.2</v>
      </c>
      <c r="I35" s="29"/>
      <c r="J35" s="30"/>
    </row>
    <row r="36" spans="1:23" ht="15.75" thickBot="1" x14ac:dyDescent="0.3">
      <c r="A36" s="72">
        <v>13</v>
      </c>
      <c r="B36" s="29">
        <f t="shared" si="2"/>
        <v>1.353925825309654</v>
      </c>
      <c r="C36" s="29">
        <f>B36-(((IFERROR(((H25*H31)/(H25-B36)),0))+(IFERROR(((H26*H32)/(H26-B36)),0))+(IFERROR(((H27*H33)/(H27-B36)),0))+(IFERROR(((H28*H34)/(H28-B36)),0))+(IFERROR(((H29*H35)/(H29-B36)),0))+(IFERROR(((H30*H36)/(H30-B36)),0))-1+H23)/((IFERROR(((H25*H31)/((H25-B36)^2)),0))+(IFERROR(((H26*H32)/((H26-B36)^2)),0))+(IFERROR(((H27*H33)/((H27-B36)^2)),0))+(IFERROR(((H28*H34)/((H28-B36)^2)),0))+(IFERROR(((H29*H35)/((H29-B36)^2)),0))+(IFERROR(((H30*H36)/((H30-B36)^2)),0))))</f>
        <v>1.353925825309654</v>
      </c>
      <c r="D36" s="29">
        <f t="shared" si="1"/>
        <v>0</v>
      </c>
      <c r="E36" s="75">
        <f t="shared" si="0"/>
        <v>0</v>
      </c>
      <c r="F36" s="35"/>
      <c r="G36" s="38"/>
      <c r="H36" s="33">
        <f>Parametrización!G9</f>
        <v>0.35</v>
      </c>
      <c r="I36" s="33"/>
      <c r="J36" s="34"/>
    </row>
    <row r="37" spans="1:23" ht="15.75" thickBot="1" x14ac:dyDescent="0.3">
      <c r="A37" s="72">
        <v>14</v>
      </c>
      <c r="B37" s="29">
        <f t="shared" si="2"/>
        <v>1.353925825309654</v>
      </c>
      <c r="C37" s="29">
        <f>B37-(((IFERROR(((H25*H31)/(H25-B37)),0))+(IFERROR(((H26*H32)/(H26-B37)),0))+(IFERROR(((H27*H33)/(H27-B37)),0))+(IFERROR(((H28*H34)/(H28-B37)),0))+(IFERROR(((H29*H35)/(H29-B37)),0))+(IFERROR(((H30*H36)/(H30-B37)),0))-1+H23)/((IFERROR(((H25*H31)/((H25-B37)^2)),0))+(IFERROR(((H26*H32)/((H26-B37)^2)),0))+(IFERROR(((H27*H33)/((H27-B37)^2)),0))+(IFERROR(((H28*H34)/((H28-B37)^2)),0))+(IFERROR(((H29*H35)/((H29-B37)^2)),0))+(IFERROR(((H30*H36)/((H30-B37)^2)),0))))</f>
        <v>1.353925825309654</v>
      </c>
      <c r="D37" s="29">
        <f t="shared" si="1"/>
        <v>0</v>
      </c>
      <c r="E37" s="75">
        <f t="shared" si="0"/>
        <v>0</v>
      </c>
      <c r="F37" s="35"/>
      <c r="G37" s="35"/>
    </row>
    <row r="38" spans="1:23" ht="18.75" thickBot="1" x14ac:dyDescent="0.4">
      <c r="A38" s="78">
        <v>15</v>
      </c>
      <c r="B38" s="79">
        <f t="shared" si="2"/>
        <v>1.353925825309654</v>
      </c>
      <c r="C38" s="79">
        <f>B38-(((IFERROR(((H25*H31)/(H25-B38)),0))+(IFERROR(((H26*H32)/(H26-B38)),0))+(IFERROR(((H27*H33)/(H27-B38)),0))+(IFERROR(((H28*H34)/(H28-B38)),0))+(IFERROR(((H29*H35)/(H29-B38)),0))+(IFERROR(((H30*H36)/(H30-B38)),0))-1+H23)/((IFERROR(((H25*H31)/((H25-B38)^2)),0))+(IFERROR(((H26*H32)/((H26-B38)^2)),0))+(IFERROR(((H27*H33)/((H27-B38)^2)),0))+(IFERROR(((H28*H34)/((H28-B38)^2)),0))+(IFERROR(((H29*H35)/((H29-B38)^2)),0))+(IFERROR(((H30*H36)/((H30-B38)^2)),0))))</f>
        <v>1.353925825309654</v>
      </c>
      <c r="D38" s="79">
        <f t="shared" si="1"/>
        <v>0</v>
      </c>
      <c r="E38" s="80">
        <f t="shared" si="0"/>
        <v>0</v>
      </c>
      <c r="F38" s="35"/>
      <c r="G38" s="76" t="s">
        <v>61</v>
      </c>
      <c r="H38" s="77">
        <f>IFERROR((C38),"---")</f>
        <v>1.353925825309654</v>
      </c>
      <c r="I38" s="76" t="s">
        <v>63</v>
      </c>
      <c r="J38" s="142">
        <f>IFERROR(((H25*J23)/(H25-H38)),0)+IFERROR(((H26*J24)/(H26-H38)),0)+IFERROR(((H27*J25)/(H27-H38)),0)+IFERROR(((H28*J26)/(H28-H38)),0)+IFERROR(((H29*J27)/(H29-H38)),0)+IFERROR(((H30*J28)/(H30-H38)),0)-1</f>
        <v>1.4360980304050828</v>
      </c>
      <c r="N38" s="23" t="s">
        <v>92</v>
      </c>
    </row>
    <row r="40" spans="1:23" x14ac:dyDescent="0.25">
      <c r="W40" s="23">
        <v>1.05</v>
      </c>
    </row>
    <row r="41" spans="1:23" x14ac:dyDescent="0.25">
      <c r="W41" s="23">
        <v>1.1000000000000001</v>
      </c>
    </row>
    <row r="42" spans="1:23" x14ac:dyDescent="0.25">
      <c r="W42" s="23">
        <v>1.1499999999999999</v>
      </c>
    </row>
    <row r="43" spans="1:23" x14ac:dyDescent="0.25">
      <c r="W43" s="23">
        <v>1.2</v>
      </c>
    </row>
    <row r="44" spans="1:23" x14ac:dyDescent="0.25">
      <c r="W44" s="23">
        <v>1.25</v>
      </c>
    </row>
    <row r="45" spans="1:23" x14ac:dyDescent="0.25">
      <c r="W45" s="23">
        <v>1.3</v>
      </c>
    </row>
    <row r="46" spans="1:23" ht="15.75" thickBot="1" x14ac:dyDescent="0.3">
      <c r="W46" s="23">
        <v>1.35</v>
      </c>
    </row>
    <row r="47" spans="1:23" x14ac:dyDescent="0.25">
      <c r="B47" s="155" t="s">
        <v>56</v>
      </c>
      <c r="C47" s="156"/>
      <c r="W47" s="23">
        <v>1.4</v>
      </c>
    </row>
    <row r="48" spans="1:23" x14ac:dyDescent="0.25">
      <c r="B48" s="37" t="s">
        <v>64</v>
      </c>
      <c r="C48" s="105">
        <v>1.55</v>
      </c>
      <c r="W48" s="23">
        <v>1.45</v>
      </c>
    </row>
    <row r="49" spans="2:23" ht="18" x14ac:dyDescent="0.35">
      <c r="B49" s="37" t="s">
        <v>65</v>
      </c>
      <c r="C49" s="30">
        <f>J38</f>
        <v>1.4360980304050828</v>
      </c>
      <c r="W49" s="23">
        <v>1.5</v>
      </c>
    </row>
    <row r="50" spans="2:23" x14ac:dyDescent="0.25">
      <c r="B50" s="37" t="s">
        <v>66</v>
      </c>
      <c r="C50" s="30">
        <f>C48*C49</f>
        <v>2.2259519471278781</v>
      </c>
      <c r="W50" s="23">
        <v>1.55</v>
      </c>
    </row>
    <row r="51" spans="2:23" ht="12.6" customHeight="1" x14ac:dyDescent="0.35">
      <c r="B51" s="37" t="s">
        <v>68</v>
      </c>
      <c r="C51" s="30">
        <f>F10</f>
        <v>9</v>
      </c>
    </row>
    <row r="52" spans="2:23" x14ac:dyDescent="0.25">
      <c r="B52" s="37" t="s">
        <v>70</v>
      </c>
      <c r="C52" s="143">
        <f>(C50-C49)/(C50+1)</f>
        <v>0.24484367085071315</v>
      </c>
    </row>
    <row r="53" spans="2:23" x14ac:dyDescent="0.25">
      <c r="B53" s="86" t="s">
        <v>69</v>
      </c>
      <c r="C53" s="87">
        <f>1-(EXP(((1+(54.4*C52))/(11+(117.2*C52)))*((C52-1)/(C52^0.5))))</f>
        <v>0.42335291866428726</v>
      </c>
    </row>
    <row r="54" spans="2:23" x14ac:dyDescent="0.25">
      <c r="B54" s="37"/>
      <c r="C54" s="30"/>
    </row>
    <row r="55" spans="2:23" x14ac:dyDescent="0.25">
      <c r="B55" s="37"/>
      <c r="C55" s="30"/>
    </row>
    <row r="56" spans="2:23" x14ac:dyDescent="0.25">
      <c r="B56" s="37"/>
      <c r="C56" s="30"/>
    </row>
    <row r="57" spans="2:23" x14ac:dyDescent="0.25">
      <c r="B57" s="37"/>
      <c r="C57" s="30"/>
    </row>
    <row r="58" spans="2:23" x14ac:dyDescent="0.25">
      <c r="B58" s="37"/>
      <c r="C58" s="30"/>
    </row>
    <row r="59" spans="2:23" ht="15.75" thickBot="1" x14ac:dyDescent="0.3">
      <c r="B59" s="88"/>
      <c r="C59" s="89"/>
    </row>
    <row r="60" spans="2:23" x14ac:dyDescent="0.25">
      <c r="B60" s="92" t="s">
        <v>71</v>
      </c>
      <c r="C60" s="93">
        <f>IFERROR(((-C51-C53)/(C53-1)),"---")</f>
        <v>16.341629436216973</v>
      </c>
    </row>
    <row r="61" spans="2:23" ht="15.75" thickBot="1" x14ac:dyDescent="0.3">
      <c r="B61" s="94"/>
      <c r="C61" s="96">
        <f>IFERROR((ROUNDUP(C60,0)),"---")</f>
        <v>17</v>
      </c>
    </row>
    <row r="67" spans="2:3" ht="15.75" thickBot="1" x14ac:dyDescent="0.3"/>
    <row r="68" spans="2:3" x14ac:dyDescent="0.25">
      <c r="B68" s="155" t="s">
        <v>56</v>
      </c>
      <c r="C68" s="156"/>
    </row>
    <row r="69" spans="2:3" x14ac:dyDescent="0.25">
      <c r="B69" s="37" t="s">
        <v>72</v>
      </c>
      <c r="C69" s="30">
        <f>Parametrización!M34</f>
        <v>55</v>
      </c>
    </row>
    <row r="70" spans="2:3" x14ac:dyDescent="0.25">
      <c r="B70" s="37" t="s">
        <v>73</v>
      </c>
      <c r="C70" s="30">
        <f>Parametrización!M23</f>
        <v>45</v>
      </c>
    </row>
    <row r="71" spans="2:3" x14ac:dyDescent="0.25">
      <c r="B71" s="37"/>
      <c r="C71" s="30">
        <f>Parametrización!G8</f>
        <v>0.2</v>
      </c>
    </row>
    <row r="72" spans="2:3" x14ac:dyDescent="0.25">
      <c r="B72" s="37"/>
      <c r="C72" s="30">
        <f>Parametrización!G7</f>
        <v>0.25</v>
      </c>
    </row>
    <row r="73" spans="2:3" x14ac:dyDescent="0.25">
      <c r="B73" s="37"/>
      <c r="C73" s="30">
        <f>Parametrización!I8</f>
        <v>2.2222222222222223E-2</v>
      </c>
    </row>
    <row r="74" spans="2:3" x14ac:dyDescent="0.25">
      <c r="B74" s="37"/>
      <c r="C74" s="30">
        <f>Parametrización!K7</f>
        <v>1.8181818181818181E-2</v>
      </c>
    </row>
    <row r="75" spans="2:3" ht="35.450000000000003" customHeight="1" x14ac:dyDescent="0.25">
      <c r="B75" s="37"/>
      <c r="C75" s="100">
        <f>IFERROR((0.206*LOG10((C69/C70)*(C71/C72)*((C74/C73)^2))),"---")</f>
        <v>-3.7916398877753069E-2</v>
      </c>
    </row>
    <row r="76" spans="2:3" ht="38.450000000000003" customHeight="1" thickBot="1" x14ac:dyDescent="0.3">
      <c r="B76" s="88"/>
      <c r="C76" s="102">
        <f>IFERROR((10^(C75)),"---")</f>
        <v>0.91639687834999306</v>
      </c>
    </row>
    <row r="77" spans="2:3" x14ac:dyDescent="0.25">
      <c r="B77" s="92"/>
      <c r="C77" s="93">
        <f>IFERROR(((C61*C76)/(C76+1)),"---")</f>
        <v>8.1291861346398644</v>
      </c>
    </row>
    <row r="78" spans="2:3" x14ac:dyDescent="0.25">
      <c r="B78" s="86"/>
      <c r="C78" s="87">
        <f>IFERROR((ROUNDUP(C77,0)),"---")</f>
        <v>9</v>
      </c>
    </row>
    <row r="79" spans="2:3" x14ac:dyDescent="0.25">
      <c r="B79" s="86"/>
      <c r="C79" s="87">
        <f>IFERROR((C61-C78),"---")</f>
        <v>8</v>
      </c>
    </row>
    <row r="80" spans="2:3" ht="15.75" thickBot="1" x14ac:dyDescent="0.3">
      <c r="B80" s="101" t="s">
        <v>74</v>
      </c>
      <c r="C80" s="96">
        <f>C78+1</f>
        <v>10</v>
      </c>
    </row>
    <row r="87" spans="2:23" ht="15.75" thickBot="1" x14ac:dyDescent="0.3"/>
    <row r="88" spans="2:23" x14ac:dyDescent="0.25">
      <c r="B88" s="155" t="s">
        <v>56</v>
      </c>
      <c r="C88" s="160"/>
      <c r="D88" s="156"/>
      <c r="W88" s="23">
        <v>15</v>
      </c>
    </row>
    <row r="89" spans="2:23" x14ac:dyDescent="0.25">
      <c r="B89" s="37"/>
      <c r="C89" s="126">
        <f>Parametrización!G14</f>
        <v>32.594000000000001</v>
      </c>
      <c r="D89" s="124"/>
      <c r="W89" s="23">
        <v>30</v>
      </c>
    </row>
    <row r="90" spans="2:23" x14ac:dyDescent="0.25">
      <c r="B90" s="37"/>
      <c r="C90" s="126">
        <f>Parametrización!G15</f>
        <v>1.1000000000000001</v>
      </c>
      <c r="D90" s="124"/>
      <c r="W90" s="23">
        <v>60</v>
      </c>
    </row>
    <row r="91" spans="2:23" x14ac:dyDescent="0.25">
      <c r="B91" s="37"/>
      <c r="C91" s="126">
        <f>C96*SQRT((C89-C90)/C89)</f>
        <v>5.9961835134529504E-2</v>
      </c>
      <c r="D91" s="124" t="s">
        <v>87</v>
      </c>
      <c r="W91" s="23">
        <v>90</v>
      </c>
    </row>
    <row r="92" spans="2:23" x14ac:dyDescent="0.25">
      <c r="B92" s="37"/>
      <c r="C92" s="126">
        <f>Parametrización!J13</f>
        <v>83</v>
      </c>
      <c r="D92" s="124" t="s">
        <v>20</v>
      </c>
    </row>
    <row r="93" spans="2:23" x14ac:dyDescent="0.25">
      <c r="B93" s="37"/>
      <c r="C93" s="126">
        <f>750.06*Parametrización!J12</f>
        <v>6375.5099999999993</v>
      </c>
      <c r="D93" s="124" t="s">
        <v>86</v>
      </c>
      <c r="W93" s="23">
        <v>12.5</v>
      </c>
    </row>
    <row r="94" spans="2:23" x14ac:dyDescent="0.25">
      <c r="B94" s="37" t="s">
        <v>85</v>
      </c>
      <c r="C94" s="119">
        <v>12.5</v>
      </c>
      <c r="D94" s="129" t="s">
        <v>84</v>
      </c>
      <c r="W94" s="23">
        <v>25</v>
      </c>
    </row>
    <row r="95" spans="2:23" x14ac:dyDescent="0.25">
      <c r="B95" s="37" t="s">
        <v>82</v>
      </c>
      <c r="C95" s="130">
        <v>90</v>
      </c>
      <c r="D95" s="129" t="s">
        <v>83</v>
      </c>
      <c r="W95" s="23">
        <v>50</v>
      </c>
    </row>
    <row r="96" spans="2:23" x14ac:dyDescent="0.25">
      <c r="B96" s="37"/>
      <c r="C96" s="126">
        <f>IF((AND((C94=12.5),(C95=15))),((0.006+0.012)/2),IF((AND((C94=12.5),(C95=30))),((0.028+0.035)/2),IF((AND((C94=12.5),(C95=60))),0.055,IF((AND((C94=12.5),(C95=90))),0.061,IF((AND((C94=25),(C95=30))),((0.02+0.028)/2),IF((AND((C94=25),(C95=60))),0.05,IF((AND((C94=25),(C95=90))),0.059,IF((AND((C94=50),(C95=30))),((0.015+0.02)/2),IF((AND((C94=50),(C95=60))),0.048,IF((AND((C94=50),(C95=90))),0.057,"Error"))))))))))</f>
        <v>6.0999999999999999E-2</v>
      </c>
      <c r="D96" s="124"/>
    </row>
    <row r="97" spans="2:4" ht="15.75" thickBot="1" x14ac:dyDescent="0.3">
      <c r="B97" s="88"/>
      <c r="C97" s="127">
        <f>Parametrización!C27</f>
        <v>100</v>
      </c>
      <c r="D97" s="125" t="s">
        <v>80</v>
      </c>
    </row>
    <row r="98" spans="2:4" ht="15.75" thickBot="1" x14ac:dyDescent="0.3">
      <c r="B98" s="90" t="s">
        <v>88</v>
      </c>
      <c r="C98" s="128">
        <f>SQRT(((4*C97)*(22.4*(273+C92)*760))/(PI()*C91*(3600*C93)*273))</f>
        <v>1.4331226702942428</v>
      </c>
      <c r="D98" s="77" t="s">
        <v>89</v>
      </c>
    </row>
    <row r="99" spans="2:4" x14ac:dyDescent="0.25">
      <c r="B99" s="35"/>
      <c r="C99" s="35"/>
      <c r="D99" s="35"/>
    </row>
    <row r="100" spans="2:4" x14ac:dyDescent="0.25">
      <c r="B100" s="35"/>
      <c r="C100" s="35"/>
      <c r="D100" s="35"/>
    </row>
    <row r="101" spans="2:4" x14ac:dyDescent="0.25">
      <c r="B101" s="35"/>
      <c r="C101" s="35"/>
      <c r="D101" s="35"/>
    </row>
    <row r="102" spans="2:4" x14ac:dyDescent="0.25">
      <c r="B102" s="35"/>
      <c r="C102" s="35"/>
      <c r="D102" s="35"/>
    </row>
    <row r="103" spans="2:4" x14ac:dyDescent="0.25">
      <c r="B103" s="35"/>
      <c r="C103" s="35"/>
      <c r="D103" s="35"/>
    </row>
    <row r="104" spans="2:4" x14ac:dyDescent="0.25">
      <c r="C104" s="35"/>
    </row>
  </sheetData>
  <sheetProtection algorithmName="SHA-512" hashValue="mQXj4WcNkE6VnAvFD0OdLz9EbAQ49SXmUDp9sN40D+vmJoIcMsf5SjqV7pyqfXYCrT6UYqBnXSnwyX6sKiVp/Q==" saltValue="acyqIqTzmrs723iEqbmk8A==" spinCount="100000" sheet="1" objects="1" scenarios="1"/>
  <mergeCells count="5">
    <mergeCell ref="B47:C47"/>
    <mergeCell ref="B68:C68"/>
    <mergeCell ref="A22:E22"/>
    <mergeCell ref="G22:J22"/>
    <mergeCell ref="B88:D88"/>
  </mergeCells>
  <dataValidations count="3">
    <dataValidation type="list" allowBlank="1" showInputMessage="1" showErrorMessage="1" sqref="C48">
      <formula1>$W$40:$W$50</formula1>
    </dataValidation>
    <dataValidation type="list" allowBlank="1" showInputMessage="1" showErrorMessage="1" sqref="C95">
      <formula1>$W$88:$W$91</formula1>
    </dataValidation>
    <dataValidation type="list" allowBlank="1" showInputMessage="1" showErrorMessage="1" sqref="C94">
      <formula1>$W$93:$W$95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</sheetPr>
  <dimension ref="A1:M33"/>
  <sheetViews>
    <sheetView zoomScale="60" zoomScaleNormal="60" workbookViewId="0"/>
  </sheetViews>
  <sheetFormatPr baseColWidth="10" defaultColWidth="11.5" defaultRowHeight="15" x14ac:dyDescent="0.25"/>
  <cols>
    <col min="1" max="1" width="11.5" style="23"/>
    <col min="2" max="2" width="20.25" style="23" customWidth="1"/>
    <col min="3" max="3" width="11.5" style="23"/>
    <col min="4" max="4" width="7.25" style="23" customWidth="1"/>
    <col min="5" max="5" width="11.5" style="23"/>
    <col min="6" max="6" width="5.25" style="23" customWidth="1"/>
    <col min="7" max="7" width="3.875" style="23" customWidth="1"/>
    <col min="8" max="8" width="6.375" style="23" customWidth="1"/>
    <col min="9" max="16384" width="11.5" style="23"/>
  </cols>
  <sheetData>
    <row r="1" spans="1:12" ht="15.75" thickBot="1" x14ac:dyDescent="0.3">
      <c r="K1" s="144" t="s">
        <v>75</v>
      </c>
      <c r="L1" s="144"/>
    </row>
    <row r="2" spans="1:12" x14ac:dyDescent="0.25">
      <c r="K2" s="36" t="str">
        <f>Parametrización!L17</f>
        <v>---</v>
      </c>
      <c r="L2" s="26">
        <f>Parametrización!M17</f>
        <v>0</v>
      </c>
    </row>
    <row r="3" spans="1:12" x14ac:dyDescent="0.25">
      <c r="K3" s="37" t="str">
        <f>Parametrización!L18</f>
        <v>C3</v>
      </c>
      <c r="L3" s="30">
        <f>Parametrización!M18</f>
        <v>0.1111111111111111</v>
      </c>
    </row>
    <row r="4" spans="1:12" x14ac:dyDescent="0.25">
      <c r="K4" s="37" t="str">
        <f>Parametrización!L19</f>
        <v>iC4</v>
      </c>
      <c r="L4" s="30">
        <f>Parametrización!M19</f>
        <v>0.33333333333333331</v>
      </c>
    </row>
    <row r="5" spans="1:12" x14ac:dyDescent="0.25">
      <c r="K5" s="41" t="str">
        <f>Parametrización!L20</f>
        <v>nC4</v>
      </c>
      <c r="L5" s="5">
        <f>Parametrización!M20</f>
        <v>0.53333333333333333</v>
      </c>
    </row>
    <row r="6" spans="1:12" x14ac:dyDescent="0.25">
      <c r="K6" s="40" t="str">
        <f>Parametrización!L21</f>
        <v>iC5</v>
      </c>
      <c r="L6" s="7">
        <f>Parametrización!M21</f>
        <v>2.2222222222222223E-2</v>
      </c>
    </row>
    <row r="7" spans="1:12" ht="15.75" thickBot="1" x14ac:dyDescent="0.3">
      <c r="K7" s="88" t="str">
        <f>Parametrización!L22</f>
        <v>nC5</v>
      </c>
      <c r="L7" s="89">
        <f>Parametrización!M22</f>
        <v>0</v>
      </c>
    </row>
    <row r="8" spans="1:12" ht="15.75" thickBot="1" x14ac:dyDescent="0.3">
      <c r="K8" s="113" t="s">
        <v>34</v>
      </c>
      <c r="L8" s="114">
        <f>Parametrización!M23</f>
        <v>45</v>
      </c>
    </row>
    <row r="9" spans="1:12" ht="15.75" thickBot="1" x14ac:dyDescent="0.3">
      <c r="D9" s="112">
        <f>Cálculos!C61</f>
        <v>17</v>
      </c>
    </row>
    <row r="10" spans="1:12" ht="18.75" thickBot="1" x14ac:dyDescent="0.4">
      <c r="D10" s="111"/>
      <c r="K10" s="85" t="s">
        <v>67</v>
      </c>
      <c r="L10" s="84">
        <f>Cálculos!F10</f>
        <v>9</v>
      </c>
    </row>
    <row r="11" spans="1:12" ht="15.75" thickBot="1" x14ac:dyDescent="0.3"/>
    <row r="12" spans="1:12" ht="15.75" thickBot="1" x14ac:dyDescent="0.3">
      <c r="K12" s="76" t="s">
        <v>61</v>
      </c>
      <c r="L12" s="77">
        <f>Cálculos!H38</f>
        <v>1.353925825309654</v>
      </c>
    </row>
    <row r="13" spans="1:12" ht="15.75" thickBot="1" x14ac:dyDescent="0.3">
      <c r="F13" s="107" t="s">
        <v>91</v>
      </c>
    </row>
    <row r="14" spans="1:12" ht="15" customHeight="1" thickBot="1" x14ac:dyDescent="0.4">
      <c r="F14" s="136">
        <f>Cálculos!C95</f>
        <v>90</v>
      </c>
      <c r="G14" s="84" t="s">
        <v>83</v>
      </c>
      <c r="H14" s="135"/>
      <c r="K14" s="76" t="s">
        <v>63</v>
      </c>
      <c r="L14" s="77">
        <f>Cálculos!J38</f>
        <v>1.4360980304050828</v>
      </c>
    </row>
    <row r="15" spans="1:12" ht="15.75" thickBot="1" x14ac:dyDescent="0.3">
      <c r="A15" s="161" t="s">
        <v>76</v>
      </c>
      <c r="B15" s="161"/>
    </row>
    <row r="16" spans="1:12" ht="40.9" customHeight="1" thickBot="1" x14ac:dyDescent="0.3">
      <c r="A16" s="109" t="s">
        <v>77</v>
      </c>
      <c r="B16" s="110">
        <f>Cálculos!C80</f>
        <v>10</v>
      </c>
      <c r="K16" s="76"/>
      <c r="L16" s="108">
        <f>Cálculos!C76</f>
        <v>0.91639687834999306</v>
      </c>
    </row>
    <row r="17" spans="1:13" ht="15.75" thickBot="1" x14ac:dyDescent="0.3"/>
    <row r="18" spans="1:13" ht="15.75" thickBot="1" x14ac:dyDescent="0.3">
      <c r="A18" s="134"/>
      <c r="B18" s="134"/>
      <c r="C18" s="35"/>
      <c r="K18" s="76"/>
      <c r="L18" s="77">
        <f>Cálculos!C78</f>
        <v>9</v>
      </c>
    </row>
    <row r="19" spans="1:13" ht="15.75" thickBot="1" x14ac:dyDescent="0.3"/>
    <row r="20" spans="1:13" ht="15.75" thickBot="1" x14ac:dyDescent="0.3">
      <c r="K20" s="90"/>
      <c r="L20" s="91">
        <f>Cálculos!C79</f>
        <v>8</v>
      </c>
    </row>
    <row r="21" spans="1:13" ht="15.75" thickBot="1" x14ac:dyDescent="0.3">
      <c r="A21" s="144" t="s">
        <v>31</v>
      </c>
      <c r="B21" s="144"/>
    </row>
    <row r="22" spans="1:13" ht="15.75" thickBot="1" x14ac:dyDescent="0.3">
      <c r="A22" s="36" t="str">
        <f>Parametrización!B21</f>
        <v>---</v>
      </c>
      <c r="B22" s="26">
        <f>Parametrización!C21</f>
        <v>0</v>
      </c>
      <c r="K22" s="76"/>
      <c r="L22" s="131">
        <f>Cálculos!C98</f>
        <v>1.4331226702942428</v>
      </c>
      <c r="M22" s="77" t="s">
        <v>89</v>
      </c>
    </row>
    <row r="23" spans="1:13" ht="15.75" thickBot="1" x14ac:dyDescent="0.3">
      <c r="A23" s="132"/>
      <c r="B23" s="133"/>
      <c r="K23" s="73"/>
      <c r="L23" s="73"/>
      <c r="M23" s="73"/>
    </row>
    <row r="24" spans="1:13" ht="15.75" thickBot="1" x14ac:dyDescent="0.3">
      <c r="A24" s="132"/>
      <c r="B24" s="133"/>
      <c r="K24" s="76" t="s">
        <v>90</v>
      </c>
      <c r="L24" s="131">
        <f>(Cálculos!C95*Cálculos!C61)/100</f>
        <v>15.3</v>
      </c>
      <c r="M24" s="77" t="s">
        <v>89</v>
      </c>
    </row>
    <row r="25" spans="1:13" x14ac:dyDescent="0.25">
      <c r="A25" s="37" t="str">
        <f>Parametrización!B22</f>
        <v>C3</v>
      </c>
      <c r="B25" s="30">
        <f>Parametrización!C22</f>
        <v>0.05</v>
      </c>
    </row>
    <row r="26" spans="1:13" ht="15.75" thickBot="1" x14ac:dyDescent="0.3">
      <c r="A26" s="37" t="str">
        <f>Parametrización!B23</f>
        <v>iC4</v>
      </c>
      <c r="B26" s="30">
        <f>Parametrización!C23</f>
        <v>0.15</v>
      </c>
      <c r="K26" s="144" t="s">
        <v>35</v>
      </c>
      <c r="L26" s="144"/>
    </row>
    <row r="27" spans="1:13" x14ac:dyDescent="0.25">
      <c r="A27" s="41" t="str">
        <f>Parametrización!B24</f>
        <v>nC4</v>
      </c>
      <c r="B27" s="5">
        <f>Parametrización!C24</f>
        <v>0.25</v>
      </c>
      <c r="K27" s="36" t="str">
        <f>Parametrización!L28</f>
        <v>---</v>
      </c>
      <c r="L27" s="26">
        <f>Parametrización!M28</f>
        <v>0</v>
      </c>
    </row>
    <row r="28" spans="1:13" x14ac:dyDescent="0.25">
      <c r="A28" s="40" t="str">
        <f>Parametrización!B25</f>
        <v>iC5</v>
      </c>
      <c r="B28" s="7">
        <f>Parametrización!C25</f>
        <v>0.2</v>
      </c>
      <c r="K28" s="37" t="str">
        <f>Parametrización!L29</f>
        <v>C3</v>
      </c>
      <c r="L28" s="30">
        <f>Parametrización!M29</f>
        <v>0</v>
      </c>
    </row>
    <row r="29" spans="1:13" ht="15.75" thickBot="1" x14ac:dyDescent="0.3">
      <c r="A29" s="88" t="str">
        <f>Parametrización!B26</f>
        <v>nC5</v>
      </c>
      <c r="B29" s="89">
        <f>Parametrización!C26</f>
        <v>0.35</v>
      </c>
      <c r="K29" s="37" t="str">
        <f>Parametrización!L30</f>
        <v>iC4</v>
      </c>
      <c r="L29" s="30">
        <f>Parametrización!M30</f>
        <v>0</v>
      </c>
    </row>
    <row r="30" spans="1:13" ht="15.75" thickBot="1" x14ac:dyDescent="0.3">
      <c r="A30" s="117" t="s">
        <v>33</v>
      </c>
      <c r="B30" s="118">
        <f>Parametrización!C27</f>
        <v>100</v>
      </c>
      <c r="K30" s="41" t="str">
        <f>Parametrización!L31</f>
        <v>nC4</v>
      </c>
      <c r="L30" s="5">
        <f>Parametrización!M31</f>
        <v>1.8181818181818181E-2</v>
      </c>
    </row>
    <row r="31" spans="1:13" x14ac:dyDescent="0.25">
      <c r="K31" s="40" t="str">
        <f>Parametrización!L32</f>
        <v>iC5</v>
      </c>
      <c r="L31" s="7">
        <f>Parametrización!M32</f>
        <v>0.34545454545454546</v>
      </c>
    </row>
    <row r="32" spans="1:13" ht="15.75" thickBot="1" x14ac:dyDescent="0.3">
      <c r="K32" s="88" t="str">
        <f>Parametrización!L33</f>
        <v>nC5</v>
      </c>
      <c r="L32" s="89">
        <f>Parametrización!M33</f>
        <v>0.63636363636363635</v>
      </c>
    </row>
    <row r="33" spans="11:12" ht="15.75" thickBot="1" x14ac:dyDescent="0.3">
      <c r="K33" s="115" t="str">
        <f>Parametrización!L34</f>
        <v>Flujo Molar</v>
      </c>
      <c r="L33" s="116">
        <f>Parametrización!M34</f>
        <v>55</v>
      </c>
    </row>
  </sheetData>
  <sheetProtection algorithmName="SHA-512" hashValue="Kx3AvkeLAFFalI08O5VZFUCULgQEWi2T+43jB+b5lLll6Y1q0YelYFot8xSS9+T4TpEe9OqU/wsmO3iqD/o+iQ==" saltValue="SiPN+6r/f/juLlHJvjlj+w==" spinCount="100000" sheet="1" objects="1" scenarios="1"/>
  <mergeCells count="4">
    <mergeCell ref="A15:B15"/>
    <mergeCell ref="K1:L1"/>
    <mergeCell ref="K26:L26"/>
    <mergeCell ref="A21:B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Portada</vt:lpstr>
      <vt:lpstr>Parametrización</vt:lpstr>
      <vt:lpstr>Parametrización (volatilidad)</vt:lpstr>
      <vt:lpstr>Cálculos</vt:lpstr>
      <vt:lpstr>Página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Hosanna</dc:creator>
  <cp:lastModifiedBy>Usuario de Windows</cp:lastModifiedBy>
  <dcterms:created xsi:type="dcterms:W3CDTF">2021-01-27T13:06:43Z</dcterms:created>
  <dcterms:modified xsi:type="dcterms:W3CDTF">2021-02-04T03:14:46Z</dcterms:modified>
  <cp:contentStatus/>
</cp:coreProperties>
</file>